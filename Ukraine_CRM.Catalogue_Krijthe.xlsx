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thylkrijthe/Documents/Thesis.TUDelft/Report/"/>
    </mc:Choice>
  </mc:AlternateContent>
  <xr:revisionPtr revIDLastSave="0" documentId="13_ncr:1_{B14D5175-0193-E947-AAF0-96335C5530E0}" xr6:coauthVersionLast="47" xr6:coauthVersionMax="47" xr10:uidLastSave="{00000000-0000-0000-0000-000000000000}"/>
  <bookViews>
    <workbookView xWindow="0" yWindow="0" windowWidth="28800" windowHeight="18000" xr2:uid="{FAE5AABE-5159-574C-8C31-3DFF25923819}"/>
  </bookViews>
  <sheets>
    <sheet name="CRM_catalogue" sheetId="1" r:id="rId1"/>
    <sheet name="Code_compatibl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86" i="1" l="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alcChain>
</file>

<file path=xl/sharedStrings.xml><?xml version="1.0" encoding="utf-8"?>
<sst xmlns="http://schemas.openxmlformats.org/spreadsheetml/2006/main" count="5161" uniqueCount="1451">
  <si>
    <t>EU CRM 2023</t>
  </si>
  <si>
    <t>Name</t>
  </si>
  <si>
    <t>Status</t>
  </si>
  <si>
    <t>Deposit type</t>
  </si>
  <si>
    <t>Oblast</t>
  </si>
  <si>
    <t>Latitude</t>
  </si>
  <si>
    <t>Longitude</t>
  </si>
  <si>
    <t>Sources + Grade</t>
  </si>
  <si>
    <t>Viable</t>
  </si>
  <si>
    <t>Industry and Infrastructure</t>
  </si>
  <si>
    <t>Info</t>
  </si>
  <si>
    <t>Control</t>
  </si>
  <si>
    <t>Geological evidence</t>
  </si>
  <si>
    <t>Data Quality</t>
  </si>
  <si>
    <t>Classification Alignment</t>
  </si>
  <si>
    <t>Total score</t>
  </si>
  <si>
    <t>Comments</t>
  </si>
  <si>
    <t>Bauxite - Alumina</t>
  </si>
  <si>
    <t>Pivdenne-nikopolske</t>
  </si>
  <si>
    <t>Deposit</t>
  </si>
  <si>
    <t>Lateritic bauxite</t>
  </si>
  <si>
    <t>Dnipropetrovsk</t>
  </si>
  <si>
    <t>47°39′19.85″ N</t>
  </si>
  <si>
    <t>34°26′26.21″ 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</si>
  <si>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Hrinchenko, O. V., Kurylo, M. V., Mykhailov, V. A., Mykhailova, L. S., Ohar, V. V., Omelchuk, O. V., Shevchenko, V. I., Shunko, V. V., &amp; Shcherbak, D. M. (2006). Metalichni korysni kopalyny Ukrainy: Pidruchnyk [Metallic minerals of Ukraine: Textbook]. Kyiv University Publishing.</t>
  </si>
  <si>
    <t>No</t>
  </si>
  <si>
    <t>Ukraine has major alumina and aluminium plants (Mykolaiv, Zaporizhia).
These plants rely entirely on imported raw materials (mainly from Guinea).
Domestic aluminium raw materials exist (bauxite, alunite, nepheline, aluminosilicate rocks).
None are developed at industrial scale, leaving Ukraine dependent on imports.</t>
  </si>
  <si>
    <t>Location: South of Nikopol, Dnipropetrovsk region.
Type: High-iron bauxite in weathered amphibolites and serpentinites.
Texture &amp; composition: Bean-textured, hydrargillite–kaolinite type.
Reserves (B+C₁+C₂): 535 kt.
Status: Small, non-industrial occurrence.</t>
  </si>
  <si>
    <t>Ukraine</t>
  </si>
  <si>
    <t>Geological Evidence: 1
Justification:
Lateritic bauxite mineralisation is clearly described, including host lithology, texture, mineralogy, and formally reported GKZ reserves (B + C1 + C2). This is demonstrable mineralisation, even if small and non-industrial.
Data Quality: 1
Justification: Quantitative data are reported. Reserves are given numerically (535 kt) and linked to identifiable sources. Even though the deposit is small and non-industrial, tonnage and context are traceable and interpretable.
Classification Alignment: 1
Justification: Formal GKZ reserve categories (B + C1 + C2) are explicitly stated. These provide a clear classification anchor that can be crosswalked to PERC resource categories.</t>
  </si>
  <si>
    <t>Vysokopilske</t>
  </si>
  <si>
    <t>Mykholayiv</t>
  </si>
  <si>
    <t>47°19′55.00″ N</t>
  </si>
  <si>
    <t>33°02′55.00″ E</t>
  </si>
  <si>
    <t>Location: Southern Ukrainian Shield, near the Inhulets River.
Type: Lateritic bauxite over Archean rocks.
Composition: 38% Al₂O₃, 28% Fe₂O₃, 8.5% SiO₂.
Reserves (A+B+C₁): 18.9 Mt; Total resources: 72 Mt.
Status: Not developed; low-grade but geologically significant.</t>
  </si>
  <si>
    <t>Geological evidence 1: Justification:
Although the description is minimal and lacks quantitative data, it explicitly refers to redeposited lateritic bauxite bodies. This confirms the physical presence of bauxite mineralisation. Geological Evidence is therefore present, even though Data Quality and Classification Alignment are both absent.Data Quality: 1
Justification: Quantitative data are clearly reported. Both grade (Al₂O₃, Fe₂O₃, SiO₂) and tonnage are given, with reserves and total resources stated numerically and supported by identifiable literature sources. This is sufficient for CRIRSCO style interpretation, even if legacy.
Classification Alignment: 1
Justification: Formal GKZ reserve categories (A + B + C1) are explicitly reported. These categories provide a clear and robust classification anchor that can be crosswalked to PERC resource categories.</t>
  </si>
  <si>
    <t>Smilyanske</t>
  </si>
  <si>
    <t>Kaolinite-gibbsite-type bauxite</t>
  </si>
  <si>
    <t>Cherkasy</t>
  </si>
  <si>
    <t>49°10′48.0″ N</t>
  </si>
  <si>
    <t>31°49′48.0″ E</t>
  </si>
  <si>
    <t>Small redeposited lateritic bauxite bodies.</t>
  </si>
  <si>
    <t>Geological Evidence: 1
Justification:
Although the description is minimal and lacks quantitative data, it explicitly refers to redeposited lateritic bauxite bodies. This confirms the physical presence of bauxite mineralisation. Geological Evidence is therefore present, even though Data Quality and Classification Alignment are both absent.Data Quality: 0
Justification: No quantitative tonnage or grade data are reported in the entry. The description is purely qualitative (“small redeposited lateritic bauxite bodies”) and does not provide values that could be translated into CRIRSCO style reporting.
Classification Alignment: 0
Justification: No GKZ, UNFC, or other formal reserve or resource classification is mentioned. Despite being labelled a “deposit,” there is no stated classification anchor that could be crosswalked to PERC categories.</t>
  </si>
  <si>
    <t>Vinnytsia</t>
  </si>
  <si>
    <t>Occurence</t>
  </si>
  <si>
    <t>Reworked lateritic bauxite</t>
  </si>
  <si>
    <t>48°39′00″ N</t>
  </si>
  <si>
    <t>28°39′00″ E</t>
  </si>
  <si>
    <t>Minor lateritic bauxite showings.</t>
  </si>
  <si>
    <t xml:space="preserve">Ukraine </t>
  </si>
  <si>
    <t>Geological Evidence: 1
Justification:
The entry describes minor lateritic bauxite showings, which still constitute demonstrable mineralisation rather than speculation. Even small or uneconomic showings meet the Geological Evidence criterion.Data Quality: 0
Justification: No quantitative data are provided. The entry contains only qualitative descriptions (“minor lateritic bauxite showings”) with no reported tonnage, grade, or numerical estimates that could be translated into CRIRSCO style reporting.
Classification Alignment: 0
Justification: The site is explicitly described as an occurrence, with no GKZ, UNFC, or other formal reserve or resource classification mentioned. There is no classification anchor that could be crosswalked to PERC categories.</t>
  </si>
  <si>
    <t>Coking Coal</t>
  </si>
  <si>
    <t>Pokrovske</t>
  </si>
  <si>
    <t>Mine</t>
  </si>
  <si>
    <t>Sedimentary - Carboniferous bituminous seam</t>
  </si>
  <si>
    <t>Donetsk</t>
  </si>
  <si>
    <t>48°16'16.16"N</t>
  </si>
  <si>
    <t>36°59'40.92"E</t>
  </si>
  <si>
    <t>GMK Center. https://gmk.center/en/infographic/due-to-the-war-ukraine-has-lost-74-of-coking-coal-production/
Metinvest Holding. (n.d.). Pokrovske coal business presentation [PDF]. https://web.archive.org/web/20240130184452/https://metinvestholding.com/Content/Entities/Presentation/33/ua/Pokrovsle%2520coal%2520business%2520presentation.pdf
U.S. Environmental Protection Agency. (2001). Coal mine methane in Ukraine: Opportunities for production and investment in the Donetsk coal basin (EPA 430-R-01-001). https://web.archive.org/web/20110408220448/http://www.epa.gov/cmop/docs/ukraine_handbook.pdf
Extractive Industries Transparency Initiative. (2023, February). Ukraine EITI Report 2021 [Report]. https://eiti.org/sites/default/files/2023-02/UA_EITI_Report_2021_UKR_final.pdf
Metinvest Holding. (2023). Annual Report 2022 [PDF]. Metinvest. https://metinvestholding.com/Content/Entities/Report/34/en/Metinvest_AR2022.pdf
Metinvest Holding. (2023, November 15). Operational results 3Q and 9M 2023 [PDF]. https://metinvestholding.com/Content/CmsFile/en/operreleases__Metinvest_Operational_results_3Q_and_9M_2023.pdf
Metinvest Holding. (2023). 2022 DataKit – MetInvest. https://metinvestholding.com/
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t>
  </si>
  <si>
    <t>Yes</t>
  </si>
  <si>
    <t>Main region: Donetsk Basin
Key mines: 8 (Pokrovske, Krasnolymanska, Surhaya, Donbas, Zasyadko, Makiivvuhillya, Toretsvuhillya, Krasnodonvuhillya)
Coking plants: ~13
Germanium recovered from coal-tar condensates
Many sites in conflict zones
Major operator: Metinvest
Output severely reduced post-2022</t>
  </si>
  <si>
    <t>Annual cap. 6.0 Mt. Largest coking coal mine in Ukraine; operated by Metinvest.</t>
  </si>
  <si>
    <t>Russia</t>
  </si>
  <si>
    <t>Each entry represents an operating or historically operating coal mine or mine group exploiting Carboniferous bituminous seams, with documented production, mine infrastructure, and reserve based reporting. This is the strongest possible form of geological evidence.Data Quality: 1
Justification: Quantitative production data are clearly reported (annual capacity 6.0 Mt), supported by multiple independent, traceable sources including company reports, EITI data, and international agency publications. This is fully interpretable in a CRIRSCO style context.
Classification Alignment: 1
Justification: The site is an operating mine with formally recognised coal reserves and long standing treatment as a reserve based asset in national and corporate reporting. This provides a clear classification anchor that can be crosswalked to PERC resource categories, even if not explicitly labelled in PERC terms.</t>
  </si>
  <si>
    <t>Krasnolymanska</t>
  </si>
  <si>
    <t>48°21′46.6″ N</t>
  </si>
  <si>
    <t>37°14′32.6″ E</t>
  </si>
  <si>
    <t>Annual cap. 0.3 Mt. Mid-sized operation near Rodynske; part of Pokrovsk coal field.</t>
  </si>
  <si>
    <t>Each entry represents an operating or historically operating coal mine or mine group exploiting Carboniferous bituminous seams, with documented production, mine infrastructure, and reserve based reporting. This is the strongest possible form of geological evidence.Data Quality: 1
Justification: Quantitative production data are reported (annual capacity 0.3 Mt) and supported by multiple traceable sources including company disclosures, EITI reporting, and international agency documents. These data are interpretable in a CRIRSCO style reporting context.
Classification Alignment: 1
Justification: The site is an operating mine within the Pokrovsk coal field and is treated as a reserve based asset in national and corporate reporting. This constitutes a clear classification anchor that can be crosswalked to PERC resource categories, even if explicit PERC terminology is not used.</t>
  </si>
  <si>
    <t>Surhaya</t>
  </si>
  <si>
    <t>47°49′28″ N</t>
  </si>
  <si>
    <t>37°17′12″ E</t>
  </si>
  <si>
    <t>Annual cap. 0.5 Mt. Pivdennodonbaska No. 3; South Donbas field near Vuhledar.</t>
  </si>
  <si>
    <t>Each entry represents an operating or historically operating coal mine or mine group exploiting Carboniferous bituminous seams, with documented production, mine infrastructure, and reserve based reporting. This is the strongest possible form of geological evidence.Data Quality: 1
Justification: Quantitative production data are reported (annual capacity 0.5 Mt) and supported by multiple traceable sources, including corporate disclosures, EITI reporting, and international agency documentation. These data are interpretable within a CRIRSCO style reporting framework.
Classification Alignment: 1
Justification: The site is an operating mine within the South Donbas coal field and is treated as a reserve based asset in national and corporate reporting. This provides a clear classification anchor that can be crosswalked to PERC resource categories, even without explicit PERC terminology.</t>
  </si>
  <si>
    <t>Donbass</t>
  </si>
  <si>
    <t>48°08′51.2″ N</t>
  </si>
  <si>
    <t xml:space="preserve"> 38°24′02.8″ E</t>
  </si>
  <si>
    <t>Annual cap. 1.2 Mt. Also known as Komsomolets Donbassa; long-running deep mine.</t>
  </si>
  <si>
    <t>Each entry represents an operating or historically operating coal mine or mine group exploiting Carboniferous bituminous seams, with documented production, mine infrastructure, and reserve based reporting. This is the strongest possible form of geological evidence.Data Quality: 1
Justification: Quantitative production data are reported (annual capacity 1.2 Mt) and supported by multiple traceable sources, including corporate reports, EITI documentation, and international agency publications. These data are interpretable within a CRIRSCO style reporting context.
Classification Alignment: 1
Justification: The site is a long running operating deep mine with formally recognised coal reserves in national and corporate reporting. This provides a clear classification anchor that can be crosswalked to PERC resource categories, even if explicit PERC terms are not used.</t>
  </si>
  <si>
    <t>Zasyadko</t>
  </si>
  <si>
    <t>48°03′08.0″ N</t>
  </si>
  <si>
    <t>37°47′22.0″ E</t>
  </si>
  <si>
    <t>Annual cap. 1.0 Mt. Located in Donetsk city; deep underground mine, partly flooded since 2014.</t>
  </si>
  <si>
    <t>Each entry represents an operating or historically operating coal mine or mine group exploiting Carboniferous bituminous seams, with documented production, mine infrastructure, and reserve based reporting. This is the strongest possible form of geological evidence.Data Quality: 1
Justification: Quantitative production data are reported (annual capacity 1.0 Mt) and supported by multiple traceable sources, including corporate disclosures, EITI reporting, and international agency documentation. These data are interpretable within a CRIRSCO style reporting framework, regardless of current operational constraints.
Classification Alignment: 1
Justification: The site is a historically operating deep underground mine with formally recognised coal reserves in national and corporate reporting. Even though it has been partly flooded since 2014, the existence of established reserve based reporting provides a clear classification anchor that can be crosswalked to PERC resource categories.</t>
  </si>
  <si>
    <t>Makiivvuhillya</t>
  </si>
  <si>
    <t>48°00′02.2″ N</t>
  </si>
  <si>
    <t>38°03′31.7″ E</t>
  </si>
  <si>
    <t>Annual cap. 1.0 Mt. Group of mines in Makiivka area; mixed coking/thermal output.</t>
  </si>
  <si>
    <t>Each entry represents an operating or historically operating coal mine or mine group exploiting Carboniferous bituminous seams, with documented production, mine infrastructure, and reserve based reporting. This is the strongest possible form of geological evidence.Data Quality: 1
Justification: Quantitative production data are reported (annual capacity 1.0 Mt) and supported by multiple traceable sources, including corporate reports, EITI documentation, and international agency publications. These data are interpretable within a CRIRSCO style reporting context.
Classification Alignment: 1
Justification: The entry refers to a recognised group of operating mines within the Donetsk Basin that have historically reported reserves and production in national and corporate frameworks. This provides a clear classification anchor that can be crosswalked to PERC resource categories, even without explicit PERC terminology.</t>
  </si>
  <si>
    <t>Toretsvuhillya</t>
  </si>
  <si>
    <t>Mine group</t>
  </si>
  <si>
    <t>Donestk</t>
  </si>
  <si>
    <t>48°23′30″ N</t>
  </si>
  <si>
    <t>37°52′24″ E</t>
  </si>
  <si>
    <t>Annual cap. 0.2 Mt. State-owned mines near Toretsk; limited modernisation.</t>
  </si>
  <si>
    <t>Each entry represents an operating or historically operating coal mine or mine group exploiting Carboniferous bituminous seams, with documented production, mine infrastructure, and reserve based reporting. This is the strongest possible form of geological evidence.Data Quality: 1
Justification: Quantitative production data are reported (annual capacity 0.2 Mt) and supported by traceable sources, including state level reporting, EITI documentation, and international agency publications. These data are sufficient to be interpreted within a CRIRSCO style reporting context.
Classification Alignment: 1
Justification: The entry refers to a recognised group of state owned mines with historically reported reserves and production under national reporting frameworks. This constitutes a clear classification anchor that can be crosswalked to PERC resource categories, even though the assets are grouped and not individually detailed.</t>
  </si>
  <si>
    <t>Krasnodonvuhillya</t>
  </si>
  <si>
    <t xml:space="preserve"> 48°17'0.26"N</t>
  </si>
  <si>
    <t>39°38'32.50"E</t>
  </si>
  <si>
    <t>Annual cap. 5.4 Mt. Large complex near Krasnodon; under occupation since 2014.</t>
  </si>
  <si>
    <t>Each entry represents an operating or historically operating coal mine or mine group exploiting Carboniferous bituminous seams, with documented production, mine infrastructure, and reserve based reporting. This is the strongest possible form of geological evidence.Data Quality: 1
Justification: Quantitative production data are reported (annual capacity 5.4 Mt) and supported by multiple traceable sources, including corporate disclosures, EITI reporting, and international agency documentation. These data are interpretable within a CRIRSCO style reporting framework, regardless of current operational status.
Classification Alignment: 1
Justification: The entry refers to a large, historically operating mine group with formally recognised coal reserves reported under national and corporate frameworks. This provides a clear classification anchor that can be crosswalked to PERC resource categories, even though the assets are currently under occupation.</t>
  </si>
  <si>
    <t>Lithium</t>
  </si>
  <si>
    <t>Shevchenkivske</t>
  </si>
  <si>
    <t>spodumene pegmatite</t>
  </si>
  <si>
    <t xml:space="preserve"> 47°54'6.81"N</t>
  </si>
  <si>
    <t>36°42'35.05"E</t>
  </si>
  <si>
    <t xml:space="preserve">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Dubyna, O., Kryvdik, S., Belskyy, V., &amp; Vyshnevskyi, O. (2020). Features of beryllium and rare-metal mineralization in syenite of the Perga deposit (Ukrainian Shield). Visnyk of Taras Shevchenko National University of Kyiv: Geology, 1(88), 92–101. https://doi.org/10.17721/1728-2713.88.13
Heichenko, M. V., Falkovich, O. L., Mienasova, A. Sh., &amp; Liventseva, H. A. (2023). Current state’s condition of lithium ore deposits in Ukraine. Mineralogical Journal (Ukraine), 45(1), 79–92.
Liventseva, H. A., Mienasova, A. Sh., Falkovich, O. L., &amp; Heichenko, M. V. (2024). Analysis of the mining and geological conditions of lithium deposits and their development. E3S Web of Conferences, 526, 01001. https://doi.org/10.1051/e3sconf/202452601001
Mykhaylov, V., &amp; Reva, M. (2025). Prospects of lithium extraction in Ukraine. Visnyk of Taras Shevchenko National University of Kyiv: Geology, 110(4), 21–41.
</t>
  </si>
  <si>
    <t>yes</t>
  </si>
  <si>
    <t>Mining: No active lithium extraction yet; deposits remain at exploration stage.
Processing: No dedicated lithium concentrators or chemical plants; only lab-scale beneficiation.
Transport: Dense rail network via Kropyvnytskyi–Dnipro–Zaporizhzhia–Odesa corridor; all deposits within 50 km of rail.
Energy: High-voltage grid coverage across the Ukrainian Shield; industrial-grade power available.
Ports: Nearest export outlets – Odesa, Mykolaiv, Pivdennyi.
Industry integration: Potential linkage with Zaporizhzhia and Dnipro metallurgical complexes for future Li processing.
Status: Infrastructure sufficient for logistics; no lithium refining capacity currently operational.</t>
  </si>
  <si>
    <t>spodumene ores, Li₂O ~1.1–1.5%, 30–35 Mt ore, 400–450 kt Li₂O. 
hosts Ta, Nb, Be, Sn, Rb, Cs, plus feldspar, quartz, mica.
Shevchenkivske – spodumene-type rare-metal pegmatite deposit; six steep pegmatite bodies (dip 55–88°), field area 40.72 ha; ore zone length ~1100 m, width ~200 m; overburden 60–120 m; depth to ore 0–500 m. Li hosted mainly in spodumene within albite–spodumene and albite–microcline pegmatites; Li₂O content ranges 0.3–4%, average 1.1–1.2% (other source: 1.5%); total ore reserves 12–14 Mt (State balance: C1 = 0.528 Mt, C2 = 1.5747 Mt; overall estimate 13.8 Mt); contained Li₂O ~207 kt; pegmatite bodies 150–500 m long and up to 20–30 m thick; associated Ta–Nb–Cs–Rb–Be accessory phases; spodumene present as prismatic and massive aggregates; pegmatite zoning stable; underground mining required due to depth and geometry.</t>
  </si>
  <si>
    <t>Geological Evidence: 1
Justification: Multiple pegmatite bodies, spodumene hosted Li, grades and reserve figures reported, clear deposit geometry and exploration context."Data Quality: 1
Justification: Extensive quantitative data are reported, including grades (Li₂O ranges and averages), tonnage, contained metal estimates, geometry, depth, and multiple consistent literature sources. These data are clearly interpretable in a CRIRSCO style context, even though they are largely legacy and exploration stage.
Classification Alignment: 1
Justification: Formal GKZ reserve categories (C1 and C2) are explicitly stated, with figures referenced to the state balance. This provides a clear classification anchor that can be crosswalked to PERC resource categories.</t>
  </si>
  <si>
    <t xml:space="preserve">Polokhivske </t>
  </si>
  <si>
    <t>petalite pegmatite</t>
  </si>
  <si>
    <t>Kirovohrad</t>
  </si>
  <si>
    <t xml:space="preserve"> 48°40'5.69"N</t>
  </si>
  <si>
    <t>31°23'9.00"E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</si>
  <si>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t>
  </si>
  <si>
    <t>petalite ores, Li₂O ~1.0–1.25%, 65 Mt ore, 800 kt Li₂O.
Main license holder: Ukrlitiyvydobuvannia LLC (Polokhivske deposit).
minor Ta, Nb, Be, Sn in small quantities; mainly quartz, feldspar.</t>
  </si>
  <si>
    <t>Geological Evidence: 1
Justification: Defined deposit with petalite ores and quantitative tonnage and grade reported."Data Quality: 1
Justification: Quantitative data are clearly reported, including ore tonnage (65 Mt), grade ranges (Li₂O ~1.0–1.25%), and contained lithium estimates. These values are supported by identifiable literature sources and are interpretable within a CRIRSCO style reporting context, even if legacy or pre feasibility.
Classification Alignment: 0
Justification: No explicit GKZ, UNFC, or other formal reserve or resource classification is stated in the entry. Despite being referred to as a deposit and having a licence holder, there is no clearly documented classification category that can be crosswalked to PERC resource classes.</t>
  </si>
  <si>
    <t>Stankuvatske</t>
  </si>
  <si>
    <t>spodumene-petalite pegmatite</t>
  </si>
  <si>
    <t xml:space="preserve"> 48°19'55.52"N</t>
  </si>
  <si>
    <t>31° 3'48.93"E</t>
  </si>
  <si>
    <t xml:space="preserve">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Ministry of Environmental Protection and Natural Resources of Ukraine, &amp; Ukrainian Geological Survey. (2024). Ukraine: Mining investment opportunities: Critical raw materials [Presentation]. Retrieved from https://www.geo.gov.ua/wp-content/uploads/presentations/en/investment-opportunities-in-exploration-production-strategic-and-critical-minerals.pdf
Bank Gospodarstwa Krajowego. (2025). The current state and prospects of extracting critical raw materials in Ukraine [Report]. Retrieved from https://www.en.bgk.pl/files/public/en/files/Reports/The_current_state_and_prospects_of_extracting_critical_raw_materials_in_Ukraine.pdf
Naumenko, U., &amp; Vasylenko, S. (2022). Prospects of development of lithium resource base in Ukraine. Scientific Collection «InterConf+», 19(99), 652–658. https://doi.org/10.51582/interconf.19-20.02.2022.072
 </t>
  </si>
  <si>
    <t>spodumene–petalite ores, Li₂O ~1.26%, 60 Mt ore, 750 kt Li₂O. 
similar trace suite (Ta, Nb, Rb, Cs, Be), but less concentrated.</t>
  </si>
  <si>
    <t>"Geological Evidence: 1
Justification: Defined deposit with lithium pegmatite ore type and quantitative tonnage and grade reported." Data Quality: 1
Justification: Quantitative data are reported, including grade (Li₂O ~1.26%), ore tonnage (60 Mt), and contained lithium estimates. These figures are supported by multiple identifiable sources and are interpretable within a CRIRSCO style reporting context, even if legacy or pre feasibility.
Classification Alignment: 0
Justification: No explicit GKZ, UNFC, or other formal reserve or resource classification category is stated in the entry. Despite being described as a deposit with reported tonnage and grade, there is no documented classification anchor that can be crosswalked to PERC categories.</t>
  </si>
  <si>
    <t>Balka Kruta</t>
  </si>
  <si>
    <t>albite-spodumene pegmatite</t>
  </si>
  <si>
    <t>Zaporizhia</t>
  </si>
  <si>
    <t>46° 58' 18'' N</t>
  </si>
  <si>
    <t>36° 48' 28'' E</t>
  </si>
  <si>
    <t>Panov, B.S., Panov, Yu.B. 2000. Ore formations of Pryazovian rare-earth rare- metal province of Ukrainian Shield. Mineralogical Journal. v. 22, No 1. pp. 81–86. (In Russian).
Zagnitko, V., Mykhailov, V., Kryvdyk, S., Sydorchuk, V. 2017. Genetic features and resources of rare-metal deposits of Ukrainian Shield. Bulletin of Kyiv National Uuniversity. Geology. No 1 (76). pp. 58–65. (In Ukrainian). 
Suyarko, V.G., Zagnitko, V.M., Reshetov, I.K. 2008. Rare earth elements in hydrothermal minerals and groundwater of Donbas. Bulletin of Kharkiv National University. No 804. pp. 70–75. (In Ukrainian).
Investment Atlas of Subsurface User. Strategic and Critical Minerals 2021.
Kyiv: State Service of Geology and Subsoil of Ukraine. Access mode: https://www.geo.gov.ua/wp-content/uploads/presentations/en/investment- opportunities-in-exploration-production-strategic-and-critical-minerals.pdf (accessed 15.12.22).
State Geological and Subsoil Service of Ukraine. (2021, January). License for the “Dobra” block of lithium ores (Novoukrainskyi district of Kirovohrad region) [PDF]. https://www.geo.gov.ua/wp-content/uploads/2021/01/DOBRA_license.pdf
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t>
  </si>
  <si>
    <t xml:space="preserve">no </t>
  </si>
  <si>
    <t xml:space="preserve">Very rich in Ta, Nb, Rb, Cs, and REEs; classic rare-metal pegmatite type. Zone
First Second Third
Ta2O5
0.001-0.268
0.001-0.176 0.001-0.0188
Nb2O5
0.001-0.036 0.0015-0.022 0.001-0.009
Li2O
0.008-4.0 0.02-6.55 0.02-1.43
Rb2O
0.006-0.094 0.005-0.395 0.001-0.096
Cs2O
0.001-0.041
0.001-0.129
0.001-0.033
REE
-
up to 0.009
up to 0.007
             </t>
  </si>
  <si>
    <t>"Geological Evidence: 1
Justification: Mineralisation is described with detailed geochemical ranges for Li and pathfinder elements in pegmatite zones. This confirms real mineral occurrence even though no tonnage is given." Data Quality: 0
Justification: Although extensive geochemical ranges are reported (Li₂O, Ta₂O₅, Nb₂O₅, Rb₂O, Cs₂O, REE), there is no reported tonnage, volume, or resource estimate. Geochemical concentrations alone, even when detailed, are not sufficient to translate into a CRIRSCO style tonnage grade framework.
Classification Alignment: 0
Justification: The site is explicitly described as an occurrence, with no GKZ, UNFC, or other formal reserve or resource classification reported. There is no classification anchor that could be crosswalked to PERC categories.</t>
  </si>
  <si>
    <t>Lipnyazka</t>
  </si>
  <si>
    <t>pegmatite</t>
  </si>
  <si>
    <t xml:space="preserve"> 48°22'50.08"N</t>
  </si>
  <si>
    <t>30°49'13.60"E</t>
  </si>
  <si>
    <r>
      <t xml:space="preserve">Stepanyuk, L. M., Kurylo, S., Syomka, V. O., &amp; Dovbush, T. I. (2021). </t>
    </r>
    <r>
      <rPr>
        <i/>
        <sz val="12"/>
        <color theme="1"/>
        <rFont val="Aptos Narrow"/>
        <family val="2"/>
        <scheme val="minor"/>
      </rPr>
      <t>Uranium-lead geochronology on monacite of granites of the Lypnyazka Massif and its framing (Ingul megablock of the Ukrainian Shield).</t>
    </r>
    <r>
      <rPr>
        <sz val="12"/>
        <color theme="1"/>
        <rFont val="Aptos Narrow"/>
        <family val="2"/>
        <scheme val="minor"/>
      </rPr>
      <t xml:space="preserve"> </t>
    </r>
    <r>
      <rPr>
        <i/>
        <sz val="12"/>
        <color theme="1"/>
        <rFont val="Aptos Narrow"/>
        <family val="2"/>
        <scheme val="minor"/>
      </rPr>
      <t>Geochemistry and Ore Formation, 42,</t>
    </r>
    <r>
      <rPr>
        <sz val="12"/>
        <color theme="1"/>
        <rFont val="Aptos Narrow"/>
        <family val="2"/>
        <scheme val="minor"/>
      </rPr>
      <t xml:space="preserve"> 71. https://doi.org/10.15407/gof.2021.42.071
Stepanyuk, L. M., Kurylo, S., Syomka, V. O., &amp; Dovbush, T. I. (2021). Uranium–lead geochronology on monacite of granites of the Lypnyazka Massif and its framing (Ingul megablock of the Ukrainian Shield). Geochemistry and Ore Formation, 42, 71. https://doi.org/10.15407/gof.2021.42.071
State Geological and Subsoil Service of Ukraine. (2021, January). License for the “Dobra” block of lithium ores (Novoukrainskyi district of Kirovohrad region) [PDF]. https://www.geo.gov.ua/wp-content/uploads/2021/01/DOBRA_license.pdf</t>
    </r>
  </si>
  <si>
    <t>no</t>
  </si>
  <si>
    <t>spodumene-bearing, part of Kirovohrad lithium zone
Type: Rare-metal (Li–Sn–Nb–Ta) pegmatite deposit
Host rocks: Granites of the Ingul megablock, Ukrainian Shield
Main minerals: Spodumene, petalite, lepidolite (Li sources); cassiterite, columbite-tantalite (by-products)
Ore grade: Li₂O ~1–1.5%; Sn, Ta, Nb in minor recoverable concentrations
Economic potential: Medium; suited for combined Li–Sn extraction
Location: Near Kropyvnytskyi, central Ukraine (approx. 48.5°N, 32.7°E)
Status: Explored; no active mining or beneficiation infrastructure</t>
  </si>
  <si>
    <t>"Geological Evidence: 1
Justification: Spodumene bearing pegmatite is explicitly stated, with Li ore type and mineralogy described. That is sufficient evidence of mineralisation even without tonnage."Data Quality: 0
Justification: Although approximate grade ranges are mentioned (Li₂O ~1–1.5%) and mineralogy is described in detail, there is no reported tonnage, volume, or resource estimate. Without quantitative size information, the data cannot be translated into a CRIRSCO style tonnage grade framework.
Classification Alignment: 0
Justification: The site is explicitly listed as an occurrence</t>
  </si>
  <si>
    <t>Nadiya</t>
  </si>
  <si>
    <t xml:space="preserve"> 48°22'4.43"N</t>
  </si>
  <si>
    <t>31° 3'10.70"E</t>
  </si>
  <si>
    <r>
      <t xml:space="preserve">Stepanyuk, L. M., Kurylo, S., Syomka, V. O., &amp; Dovbush, T. I. (2021). </t>
    </r>
    <r>
      <rPr>
        <i/>
        <sz val="12"/>
        <color theme="1"/>
        <rFont val="Aptos Narrow"/>
        <family val="2"/>
        <scheme val="minor"/>
      </rPr>
      <t>Uranium-lead geochronology on monacite of granites of the Lypnyazka Massif and its framing (Ingul megablock of the Ukrainian Shield).</t>
    </r>
    <r>
      <rPr>
        <sz val="12"/>
        <color theme="1"/>
        <rFont val="Aptos Narrow"/>
        <family val="2"/>
        <scheme val="minor"/>
      </rPr>
      <t xml:space="preserve"> </t>
    </r>
    <r>
      <rPr>
        <i/>
        <sz val="12"/>
        <color theme="1"/>
        <rFont val="Aptos Narrow"/>
        <family val="2"/>
        <scheme val="minor"/>
      </rPr>
      <t>Geochemistry and Ore Formation, 42,</t>
    </r>
    <r>
      <rPr>
        <sz val="12"/>
        <color theme="1"/>
        <rFont val="Aptos Narrow"/>
        <family val="2"/>
        <scheme val="minor"/>
      </rPr>
      <t xml:space="preserve"> 71. https://doi.org/10.15407/gof.2021.42.071
Stepanyuk, L. M., Kurylo, S., Syomka, V. O., &amp; Dovbush, T. I. (2021). Uranium–lead geochronology on monacite of granites of the Lypnyazka Massif and its framing (Ingul megablock of the Ukrainian Shield). Geochemistry and Ore Formation, 42, 71. https://doi.org/10.15407/gof.2021.42.071
State Geological and Subsoil Service of Ukraine. (2021, January). License for the “Dobra” block of lithium ores (Novoukrainskyi district of Kirovohrad region) [PDF]. https://www.geo.gov.ua/wp-content/uploads/2021/01/DOBRA_license.pdf
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t>
    </r>
  </si>
  <si>
    <t>associated with Stankuvatske field</t>
  </si>
  <si>
    <t>"Geological Evidence: 0
Justification: The entry provides no independent description of mineralisation, grades, sampling, or geological parameters. It only states an association with the Stankuvatske field. Under the conservative rule, that is not enough to confirm mineralisation at this specific named occurrence." Data Quality: 0
Justification: No quantitative tonnage or grade data are reported for this occurrence. The entry only states an association with the Stankuvatske field, without providing independent numerical estimates that could be translated into a CRIRSCO style framework.
Classification Alignment: 0
Justification: The site is explicitly listed as an occurrence, and no GKZ, UNFC, or other formal reserve or resource classification is reported. There is no classification anchor that could be crosswalked to PERC categories.\</t>
  </si>
  <si>
    <t>Zhovtorichenske</t>
  </si>
  <si>
    <t xml:space="preserve"> 48°19'42.18"N</t>
  </si>
  <si>
    <t>33°19'40.36"E</t>
  </si>
  <si>
    <t>rare-metal type in Kryvorizko-Kremenchutska zone</t>
  </si>
  <si>
    <t>"Geological Evidence: 0
Justification: Only a regional statement is given (“rare-metal type in Kryvorizko-Kremenchutska zone”) with no mineral host, Li minerals, grades, sampling, or deposit description. This is too inferential to count as confirmed mineralisation." Data Quality: 0
Justification: No quantitative tonnage or grade data are reported. The description is qualitative (“rare-metal type in Kryvorizko-Kremenchutska zone”) and does not provide numerical information that could be translated into a CRIRSCO style tonnage grade framework.
Classification Alignment: 0
Justification: The site is explicitly listed as an occurrence, and no GKZ, UNFC, or other formal reserve or resource classification category is reported. There is no classification anchor that could be crosswalked to PERC categories.</t>
  </si>
  <si>
    <t>Komendantivske</t>
  </si>
  <si>
    <t>49°03′34.64″ N</t>
  </si>
  <si>
    <t>33°51′42.76″ E</t>
  </si>
  <si>
    <t>Korzhniev, H. M., &amp; Pokaliuk, V. V. (2013). Geological structure and mineralization of the Kryvorizko–Kremenchutska Synclinorium Zone. Bulletin of the Dnipro State Agrarian and Economic University, 8, 21–27.
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t>
  </si>
  <si>
    <t>rare-metal pegmatite Kryvorizko-Kremenchutska zone</t>
  </si>
  <si>
    <t>"Geological Evidence: 0
Justification: Same issue as above. It is described only as a rare-metal pegmatite in a zone, without any described Li mineralisation, grades, or documented occurrence-specific evidence." Data Quality: 0
Justification: No quantitative tonnage or grade data are reported. The description is qualitative (“rare-metal pegmatite Kryvorizko-Kremenchutska zone”) and does not provide numerical information that could be translated into a CRIRSCO style reporting framework.
Classification Alignment: 0
Justification: The site is explicitly listed as an occurrence, with no GKZ, UNFC, or other formal reserve or resource classification reported. There is no classification anchor that could be crosswalked to PERC categories.</t>
  </si>
  <si>
    <t>Phosphorus</t>
  </si>
  <si>
    <t xml:space="preserve">Karpivske </t>
  </si>
  <si>
    <t>Phosphorite</t>
  </si>
  <si>
    <t>Donbas</t>
  </si>
  <si>
    <t xml:space="preserve"> 48°53'56.23"N</t>
  </si>
  <si>
    <t xml:space="preserve"> 37°40'2.43"E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</si>
  <si>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Syvyi Miroslav, Petro Demyanchuk, Bohdan Havryshok, &amp; Bohdan Zablotskyi. (2019). Phosphates of Ukraine as raw materials for the production of mineral fertilizers and ameliorants. Gospodarka Surowcami Mineralnymi, 35(4). https://doi.org/10.24425/gsm.2019.128543</t>
  </si>
  <si>
    <t>Ukraine currently has no active industrial facilities for phosphate beneficiation, phosphoric acid production, or phosphorus compound synthesis. Historical fertilizer plants that processed domestic phosphorite have been decommissioned, and no modern enrichment or acidulation plants operate today.
Phosphate fertilizers such as superphosphate, MAP, and DAP are entirely imported, mainly from Morocco, Poland, and Russia. There is no domestic capacity for wet-process phosphoric acid, elemental phosphorus, or thermal phosphate production.
Research institutes have tested laboratory-scale leaching and nitric–sulfuric acid processing methods, but these have not advanced to pilot or industrial application. The only historical phosphorus recovery occurred incidentally at the Kamysh-Burunskiy Iron Ore Plant (Kerch), which closed in 1992.
In summary, Ukraine lacks operational phosphorus-processing infrastructure; the industry is inactive, and fertilizer demand is met through imports.</t>
  </si>
  <si>
    <t>Previously mined. phosphorite-glauconite ores is represented by Lower Cretaceous Dnieper- -Donetsk basinCenomanian clayey and carbonate sands with a thickness of 4.0-19.2 m. Prognostic resources are 9 Mt. Mineral resources, phosphorite ore, Р2О5 , [thousand tons] В+С1: 556.3/32.6. С2: 1291.5/72.6 Content
Р2О5 [%] 5.7</t>
  </si>
  <si>
    <t xml:space="preserve"> Geological Evidence: 1
Justification: Phosphorite-glauconite ore is described with host stratigraphy, thickness, grade, and reported resources, plus “previously mined”. Data Quality: 1
Justification: Quantitative data are clearly reported, including thickness, P₂O₅ grade (5.7%), and numerical resource figures. Prognostic resources (9 Mt) and GKZ style mineral resource figures (B + C1 and C2, with tonnage and contained P₂O₅) are provided and traceable to identifiable sources. These data are interpretable within a CRIRSCO style reporting framework, even though they are legacy and low grade.
Classification Alignment: 1
Justification: Formal GKZ categories (B + C1 and C2) are explicitly stated for mineral resources. This provides a clear classification anchor that can be crosswalked to PERC resource categories.</t>
  </si>
  <si>
    <t>/Phosphate Rock</t>
  </si>
  <si>
    <t>Myliatynske</t>
  </si>
  <si>
    <t>Rivne</t>
  </si>
  <si>
    <t xml:space="preserve"> 50°28'38.96"N</t>
  </si>
  <si>
    <t>26°34'38.55"E</t>
  </si>
  <si>
    <t>No source besides: 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Shevchuk, R. M. (2019). MONITORING OF MYLIATYN GRANULAR PHOSPHORITE QUARRY CURRENT STATE USING REMOTE SENSING DATA. Geological Journal, 0(2), 73–78. https://doi.org/10.30836/igs.1025-6814.2019.2.169937
Syvyi Miroslav, Petro Demyanchuk, Bohdan Havryshok, &amp; Bohdan Zablotskyi. (2019). Phosphates of Ukraine as raw materials for the production of mineral fertilizers and ameliorants. Gospodarka Surowcami Mineralnymi, 35(4). https://doi.org/10.24425/gsm.2019.128543</t>
  </si>
  <si>
    <t>Previously Mined. Mineral resources, phosphorite ore, Р2О5 , [thousand tons] В+С1 4000/213. С2 3583.4/247. Inferred resources Р2О5, [thousand tons] : 100 . Content
Р2О5 [%] 6-7</t>
  </si>
  <si>
    <t>"Geological Evidence: 1
Justification: “Previously mined” with explicit mineral resource figures and grades. Confirmed deposit-level phosphorite mineralisation." Data Quality: 1
Justification: Quantitative data are clearly reported, including P₂O₅ grade (6–7%) and numerical mineral resource figures. Resource quantities are given for B + C1, C2, and inferred categories, with tonnage and contained P₂O₅ values. These data are traceable to identifiable literature sources and are interpretable within a CRIRSCO style reporting framework, despite being legacy.
Classification Alignment: 1
Justification: Formal GKZ style classification categories (B + C1, C2, and inferred) are explicitly stated. This provides a clear classification anchor that can be crosswalked to PERC resource categories.</t>
  </si>
  <si>
    <t>Vyazoviy Yar</t>
  </si>
  <si>
    <t>Kharkiv</t>
  </si>
  <si>
    <t xml:space="preserve"> 49°25'58.60"N</t>
  </si>
  <si>
    <t xml:space="preserve"> 36°41'2.37"E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</si>
  <si>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Shevchuk, R. M. (2019).
Syvyi Miroslav, Petro Demyanchuk, Bohdan Havryshok, &amp; Bohdan Zablotskyi. (2019). Phosphates of Ukraine as raw materials for the production of mineral fertilizers and ameliorants. Gospodarka Surowcami Mineralnymi, 35(4). https://doi.org/10.24425/gsm.2019.128543</t>
  </si>
  <si>
    <t xml:space="preserve">Mineral resources, phosphorite ore, Р2О5 , [thousand tons]: В+С1 40.6/3.66. C2 23.2/2.3.  </t>
  </si>
  <si>
    <t>"Geological Evidence: 1
Justification: Explicit GKZ style resource figures (B + C1, C2) confirm a defined phosphorite deposit." Data Quality: 1
Justification: Quantitative mineral resource data are reported, including numerical tonnage and contained P₂O₅ for B + C1 and C2 categories. These values are traceable to identifiable literature sources and are interpretable within a CRIRSCO style reporting framework, even though the deposit is small.
Classification Alignment: 1
Justification: Formal GKZ style resource categories (B + C1 and C2) are explicitly stated. This provides a clear classification anchor that can be crosswalked to PERC resource categories.</t>
  </si>
  <si>
    <t xml:space="preserve">Ratnivske </t>
  </si>
  <si>
    <t>Volyn</t>
  </si>
  <si>
    <t xml:space="preserve"> 50°40'21.10"N</t>
  </si>
  <si>
    <t xml:space="preserve"> 25°11'41.19"E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</si>
  <si>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Shevchuk, R. M. (2019).
Syvyi Miroslav, Petro Demyanchuk, Bohdan Havryshok, &amp; Bohdan Zablotskyi. (2019). Phosphates of Ukraine as raw materials for the production of mineral fertilizers and ameliorants. Gospodarka Surowcami Mineralnymi, 35(4). https://doi.org/10.24425/gsm.2019.128544
Syvyi, M., Demyanchuk, P., Havryshok, B., &amp; Zablotskyi, B. (2019). Phosphates of Ukraine as raw materials for the production of mineral fertilizers and ameliorants. Gospodarka Surowcami Mineralnymi – Mineral Resources Management, 35(4), 5-26. https://doi.org/10.24425/gsm.2019.128543</t>
  </si>
  <si>
    <t>Ratnivske deposit of silicum type phosphotires is one of the thick beds of phosphate crude in Ukraine. Its reserves are 784 millions tons with the average content of P2O5 5.47 %. But there are lots of silica and potassium
oxide in them. The enriched concentrate contains 19– 23 % of P2O5.
Type: nodular phosphorite deposit
Location: Volyn region
Age/Formations: Paleogene Obukhivska Suite; Quaternary sand-gravel-pebble; underlain by Cretaceous Zdolbunivska Suite (chalk, marl)
Bodies: 14 redeposited
Nodule content: 6–80%
P₂O₅ (nodules): 2.44–14.54%
P₂O₅ (ore): 0.58–10.88%
Mining method: open-cast
Type: nodular phosphorite deposit
Location: Ratnivske, Volyn region (Postupelska site, 29 ha)
Reserves (B + C1): ore – 4,190.4 kt P₂O₅; nodules – 391.02 kt P₂O₅
Status: not mined
Use: mineral fertilizer production.  Inferred resources Р2О5, [thousand tons] P1: 8200.  Content
Р2О5 [%] 2.5.</t>
  </si>
  <si>
    <t>"Geological Evidence: 1
Justification: Detailed description of nodular phosphorite bodies, grades, mining method, and reserve figures. Strong evidence." Data Quality: 1
Justification: Extensive quantitative data are reported, including ore tonnage, P₂O₅ grades (for ore and nodules), reserve figures, and inferred resources. Numerical values are clearly stated and traceable to identifiable literature sources. These data are interpretable within a CRIRSCO style tonnage grade framework, even though they are legacy and industrial processing constraints are noted.
Classification Alignment: 1
Justification: Formal GKZ style categories are explicitly stated, including B + C1 reserves and P1 inferred resources. This provides a clear classification anchor that can be crosswalked to PERC resource categories.</t>
  </si>
  <si>
    <t xml:space="preserve">Osykivske </t>
  </si>
  <si>
    <t xml:space="preserve"> 47°41'54.06"N</t>
  </si>
  <si>
    <t xml:space="preserve"> 37°59'43.61"E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</si>
  <si>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Shevchuk, R. M. (2019).
Syvyi Miroslav, Petro Demyanchuk, Bohdan Havryshok, &amp; Bohdan Zablotskyi. (2019). Phosphates of Ukraine as raw materials for the production of mineral fertilizers and ameliorants. Gospodarka Surowcami Mineralnymi, 35(4). https://doi.org/10.24425/gsm.2019.128544
Syvyi, M., Demyanchuk, P., Havryshok, B., &amp; Zablotskyi, B. (2019). Phosphates of Ukraine as raw materials for the production of mineral fertilizers and ameliorants. Gospodarka Surowcami Mineralnymi – Mineral Resources Management, 35(4), 5-26. https://doi.org/10.24425/gsm.2019.128544</t>
  </si>
  <si>
    <t>Both sources describe the Osykivske (Osykove) granular phosphorite deposit in the Dnipro-Donetsk Depression, hosted in Upper Cretaceous quartz-glauconite sands and marls. Reported thicknesses are similar—1–14 m and 1–16 m—with average P₂O₅ contents of about 5 %. The second source adds overburden data (15–29 m) and gives smaller industrial-category reserves (0.59 Mt P₂O₅) compared with the broader estimate of 7.7 Mt P₂O₅ in the first, indicating different evaluation criteria rather than separate deposits. (Mineral Resources of Ukraine, 2021; Syvyi et al., 2019)</t>
  </si>
  <si>
    <t>"Geological Evidence: 1
Justification: Deposit is described with host lithology, thickness, overburden, and grade, plus quantified resource figures (even if sources differ). Confirms mineralisation." Data Quality: 1
Justification: Quantitative data are reported, including thickness ranges, overburden, average P₂O₅ grade (about 5%), and numerical resource figures expressed as contained P₂O₅. Even though different sources report different magnitudes (0.59 Mt vs 7.7 Mt P₂O₅), the data are traceable and interpretable within a CRIRSCO style tonnage grade framework. Divergence reflects evaluation criteria, not absence of data.
Classification Alignment: 1
Justification: The deposit is treated as a formally evaluated phosphorite deposit with industrial category reserve figures reported in national literature. This constitutes a classification anchor that can be crosswalked to PERC resource categories, even if the exact GKZ category labels are not consistently specified.</t>
  </si>
  <si>
    <t xml:space="preserve">Zhvanske </t>
  </si>
  <si>
    <t xml:space="preserve"> 48°37'8.43"N</t>
  </si>
  <si>
    <t xml:space="preserve"> 27°26'24.90"E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</si>
  <si>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Shevchuk, R. M. (2019).
Syvyi Miroslav, Petro Demyanchuk, Bohdan Havryshok, &amp; Bohdan Zablotskyi. (2019). Phosphates of Ukraine as raw materials for the production of mineral fertilizers and ameliorants. Gospodarka Surowcami Mineralnymi, 35(4). https://doi.org/10.24425/gsm.2019.128544
Syvyi, M., Demyanchuk, P., Havryshok, B., &amp; Zablotskyi, B. (2019). Phosphates of Ukraine as raw materials for the production of mineral fertilizers and ameliorants. Gospodarka Surowcami Mineralnymi – Mineral Resources Management, 35(4), 5-26. https://doi.org/10.24425/gsm.2019.128545
Korpan, O., et al. (2018b). Exploration data on phosphorite deposits of Mohyliv-Podillia and Murovani Kurylivtsi districts. [In Ukrainian].
Korpan, O., et al. (2018c). Preliminary results of phosphorite exploration in Khmelnytskyi oblast. [In Ukrainian].
Syvyi, M., Demyanchuk, P., Havryshok, B., &amp; Zablotskyi, B. (2019). Phosphates of Ukraine as raw materials for the production of mineral fertilizers and ameliorants. Gospodarka Surowcami Mineralnymi – Mineral Resources Management, 35(4), 5–26. https://doi.org/10.24425/gsm.2019.128543
Syvyi, M. (2004a). Phosphorite-glauconite occurrences of the Yampil district. [In Ukrainian].
Weshyckyj, P. (2004a). Cretaceous phosphorite formations between Yampil and Khmelnytskyi. [In Ukrainian].</t>
  </si>
  <si>
    <t>phosphorite deposit in Vinnytsia region is represented by weakly cemented phosphorite-bearing quartz-glauconite sandstones, less often pebbles 0.3- 4.82m thick (average 1.4 m), with 3-10% Р2О5, which is spread over an area of 15 km (Fig. 5.13). Type: sandy–nodular phosphorite deposit
Location: Zhvanske, Vinnytsia region
Host rocks: Cenomanian quartz-glauconite sandstones and pebbles
Thickness: 0.3–4.82 m (avg. 1.4 m)
P₂O₅ content: 3–10 % in ore; up to 6 % in primary nodules; 30–36 % in spherical fragments; total ≈ 14 %
Productive layers: lower (rolled “Podolski” phosphorites, phosphatized sponges) and upper (primary sandy phosphorites)
Productivity: 160–470 kg/m²
Reserves (C2): 5 378 kt P₂O₅
Depth: 70–100 m
Mining method: adit underground (cost-effective)
Profitability: ~30 %, ROI ≈ 3 years
Glauconite content: up to 50 %
Annual output: 550 kt ore → 400 kt phosphorite powder (8 % P₂O₅)
Mine life (LOM): 50 years
Exploration: high; multiple adits from 1950s.
The Zhvan (Zhvanske) phosphorite deposit, located near the village of Zhvan in the Murovani Kurylivtsi district, Vinnytsia region, was discovered in 1954 and represents a mixed-type Cenomanian deposit composed primarily of nodular and granular phosphorites (0.1–0.5 mm to 2–5 cm) within phosphorite-bearing glauconitic sands (Syvyi et al., 2019). The deposit also contains redeposited spherical concretions and their fragments. The phosphorite horizon, 8–30 m thick, lies at a depth of 70–100 m, locally surfacing along river valleys. The ore layer is 0.9–1.5 m thick, averaging 450–470 kg of concentrate/m². In the northern section, reserves are classified as C1, totaling 752 kt as enriched concentrate with 16% P₂O₅.
Technical and economic studies in the 1960s and 1990s were based on this section alone, although other outcrops display higher-grade material. Ongoing exploration in the Mohyliv-Podillia and Murovani Kurylivtsi districts may expand resources to 2–3 Mt (Korpan et al., 2018b). Similar phosphorite–glauconite ores suitable for underground mining occur near Dzhyhivka, Rusava, and Porohiv (Syvyi, 2004a). Regionally, eight deposits and ~90 occurrences have been identified between Yampil (Vinnytsia) and Khmelnitskyi, mainly within Cretaceous strata, showing nodular, spongiform, shell, and phytomorphic structures with 10–15% P₂O₅ (Weshyckyj, 2004a). Preliminary exploration in Zozulyntsi (Krasyliv district) and Fashchiivka (Derazhnia district, Khmelnytskyi oblast) reported 93.2 Mt of ore resources (Korpan et al., 2018c).</t>
  </si>
  <si>
    <t>"Geological Evidence: 1
Justification: Very detailed deposit description including ore layers, grades, thickness, depth, adits, historical exploration and resource categories (C2, C1). Strong evidence." Data Quality: 1
Justification: Very extensive quantitative data are reported, including thickness, depth, P₂O₅ grades, productivity, tonnage, annual output, mine life, and economic parameters. Resource figures are given numerically and supported by multiple independent literature sources. These data are clearly interpretable within a CRIRSCO style tonnage grade framework, even though they derive from legacy exploration and historical studies.
Classification Alignment: 1
Justification: Formal GKZ style classification categories are explicitly stated, including C2 resources and a northern section classified as C1. This provides a clear and well documented classification anchor that can be crosswalked to PERC resource categories.</t>
  </si>
  <si>
    <t xml:space="preserve">Phosphorite-bearing brown iron ores </t>
  </si>
  <si>
    <t>Multiple deposits</t>
  </si>
  <si>
    <t>Crimea</t>
  </si>
  <si>
    <t xml:space="preserve"> 48°11'3.53"N</t>
  </si>
  <si>
    <t xml:space="preserve"> 22°41'0.26"E</t>
  </si>
  <si>
    <t xml:space="preserve">Type: phosphorite-bearing brown iron ore deposits
Location: Kerchenskiy Iron-Ore Basin, Crimea
Geological age: Miocene (Cimmerian marine sediments)
Host minerals: hydroferrichlorite, ferrimontmorillonite, hydrogoethite (“brown” ores), leptochlorite (“tobacco”), vivianite
Phosphate minerals: vivianite, kerchenite, apatite, kurskite, collofane
Morphology: subhorizontal ore horizons, thickness from a few meters (margins) to 25–30 m (axial zone)
Deposits (A + C1 category):
Kamysh-Burunske – 176.1 Mt ore; 3.9 Mt P₂O₅; avg. 2.09%
Eltigen-Ortelske – 14.6 Mt ore; 4 Mt P₂O₅; avg. 2.45%
Kyz-Aulske – 109.3 Mt ore; 2.4 Mt P₂O₅; avg. 2.17%
Number of known deposits: 11
Mining status: mined until 1992 by Kamysh-Burunskiy Iron Ore Plant (capacity 5.7 Mt ore/year); currently inactive
</t>
  </si>
  <si>
    <t>"Geological Evidence: 1
Justification: Multiple named deposits with ore horizons, tonnage, grades, GKZ categories (A + C1), and historical mining. Unambiguous evidence." Phosphorite-bearing brown iron ores (Kerchenskiy Basin, multiple deposits)
Data Quality: 1
Justification: Extensive quantitative data are reported, including ore tonnages, contained P₂O₅, average grades, thickness ranges, number of deposits, and historical production capacity. The figures are given numerically and are traceable to identifiable sources. These data are interpretable within a CRIRSCO style tonnage grade framework, even though the deposits are inactive and data are legacy.
Classification Alignment: 1
Justification: Formal GKZ style classification categories (A + C1) are explicitly stated for multiple deposits. This provides a clear and robust classification anchor that can be crosswalked to PERC resource categories, regardless of current mining status or political context.</t>
  </si>
  <si>
    <t>Antimony</t>
  </si>
  <si>
    <t xml:space="preserve">Beregivske </t>
  </si>
  <si>
    <t xml:space="preserve">gold-polymetallic </t>
  </si>
  <si>
    <t>Zakarpattia</t>
  </si>
  <si>
    <t xml:space="preserve">The average lead content is 2.09%, zinc – 5.08%. A high content of cadmium and low – antimony and arsenic are noted. </t>
  </si>
  <si>
    <t>Geological Evidence: 1
Justification:
The entry describes a gold-polymetallic deposit with quantified base-metal grades (Pb 2.09%, Zn 5.08%) and noted trace-element associations (Cd, Sb, As). This confirms the physical presence of mineralised ore, even though antimony is low and not quantified separately. The absence of tonnage affects Data Quality, not Geological Evidence." Data Quality: 0
Justification: Although average grades for lead (2.09%) and zinc (5.08%) are reported, no tonnage, reserve, or resource size is provided for antimony or the deposit as a whole in this entry. Qualitative statements about “low antimony” are not sufficient to translate the data into a CRIRSCO style tonnage–grade framework.
Classification Alignment: 0
Justification: No GKZ, UNFC, or other formal reserve or resource classification is stated. Despite being referred to as a deposit, there is no documented classification anchor that could be crosswalked to PERC categories.</t>
  </si>
  <si>
    <t>Feldspar</t>
  </si>
  <si>
    <t>Girne</t>
  </si>
  <si>
    <t>Pegmatite</t>
  </si>
  <si>
    <t>Zhytomyr</t>
  </si>
  <si>
    <t xml:space="preserve"> 50°11'40.44"N</t>
  </si>
  <si>
    <t xml:space="preserve"> 27°39'44.28"E</t>
  </si>
  <si>
    <t>Metallic and Non‑Metallic Minerals of Ukraine. Volume II. Non‑Metallic Minerals by D. S. Gurskiy, K. Yu. Esipchuk, and V. I. Kalinin et al. (2006).</t>
  </si>
  <si>
    <t>Ukraine’s feldspar industry is based mainly on the extraction of pegmatite and granite deposits in the Khmelnytskyi and Zhytomyr regions, with the Maidan-Vilske and Polonno-Baranivske fields forming the country’s industrial core. The sector supplies the domestic ceramics, porcelain, and glass industries through vertically integrated plants equipped with crushing, magnetic separation, and flotation units. Total production reached about 640 kt in 2020, dominated by PJSC Maidan-Vilsky Refractory Plant and SE Polonskiy Plant Mayak. Additional raw materials are sourced from pegmatite and technogenic deposits in Zaporizhzhia, Kirovohrad, Vinnytsia, Donetsk, and Cherkasy, where feldspar occurs as a by-product of rare-metal or fluorite beneficiation. Infrastructure is well developed, with deposits located near major rail lines and processing centres supplying most of Ukraine’s ceramic and glass production.</t>
  </si>
  <si>
    <t>Girne Feldspar Deposit (Zhytomyr Region)
Deposit type: Pegmatite.
Location: Korostenskyi granitic-pegmatite field, northwestern Ukrainian Shield.
Host rocks: Biotite and amphibole-biotite gneisses of the Teterivska Series.
Structure: Boudinaged, conformable pegmatite veins.
Thickness: 0.5–20 m (average ~8 m).
Length: 100–500 m.
Texture: Coarse-grained and graphic.
Main minerals (%):
Microcline 60–70
Quartz 20–30
Plagioclase 10–15
Muscovite and biotite minor (1–3)
Accessory minerals: Kaolinite, zircon, apatite, chlorite, sericite.
Quality: Low Fe₂O₃ (&lt;0.5%), TiO₂ (&lt;0.2%) — suitable for ceramic-grade feldspar.
Reserves: Recorded under categories B + C₁ ≈ 1.2 Mt of ore; C₂ ≈ 2.6 Mt.
Industrial use: Raw material for ceramics, porcelain, and glass production.
Status (as of 2006): Partly mined; remains in the State Mineral Reserve inventory.</t>
  </si>
  <si>
    <t>1 | Pegmatite-hosted feldspar with clearly described geometry, mineralogy, chemistry, and state-recorded reserves, confirming in-situ geological mineralisation. Data Quality: 1
Justification: Detailed quantitative geological and mineralogical data are reported, including vein dimensions, mineral proportions, chemical quality parameters (Fe₂O₃, TiO₂), and numerical reserve figures. Ore tonnages are explicitly stated and traceable to authoritative literature. These data are clearly interpretable within a CRIRSCO style tonnage–grade framework.
Classification Alignment: 1
Justification: Formal GKZ reserve categories (B + C1 and C2) are explicitly stated, and the deposit is recorded in the State Mineral Reserve inventory. This provides a clear classification anchor that can be crosswalked to PERC resource categories.</t>
  </si>
  <si>
    <t>Gruzlivske</t>
  </si>
  <si>
    <t xml:space="preserve"> 50°23'16.39"N</t>
  </si>
  <si>
    <t xml:space="preserve"> 28° 5'22.26"E</t>
  </si>
  <si>
    <t>Deposit type: Pegmatite (feldspar-quartz).
Field: Polonno-Baranivske Field, same general structure as Girne.
Rock association: Biotite gneisses of the Ukrainian Shield.
Mineralogy: Microcline, quartz, plagioclase, muscovite, biotite.
Operator: Dovbyskiy Porcelain Factory Koral LLC (Gruzlivetska-3 site).
Industrial use: Ceramic-grade feldspar and porcelain raw material.
Status: Producing.</t>
  </si>
  <si>
    <t>1 | Producing pegmatite feldspar deposit with a well-defined geological setting and mineralogy, confirming physical in-ground mineralisation despite missing reserve figures. Data Quality: 0
Justification: Although the deposit is described as producing and its mineralogy and industrial use are outlined, no quantitative tonnage, reserve figures, or grade parameters are provided in this entry. Without numerical size or reserve data, the information cannot be translated into a CRIRSCO style tonnage–grade framework.
Classification Alignment: 0
Justification: No GKZ, UNFC, or other formal reserve or resource classification category is stated for this deposit. Production status alone, without an explicit classification anchor, is not sufficient for crosswalking to PERC categories.</t>
  </si>
  <si>
    <t>Balka Velykogo Taboru</t>
  </si>
  <si>
    <t xml:space="preserve"> 47° 0'27.68"N</t>
  </si>
  <si>
    <t xml:space="preserve"> 36°23'38.20"E</t>
  </si>
  <si>
    <t>Deposit type: Pegmatite/aplite feldspar-quartz vein.
Field: Elyseivske Field (Azovian region).
Associated deposits: Zelena Mogyla, Dalnya Kamchatka, Nyzhnya Kamchatka, Balka Glyboka.
Structure: Veins 90–165 m long, 17–90 m thick.
Composition: Microcline + plagioclase + quartz ± muscovite.
Operator: Pegmatit LLC.
Use: Fine ceramics, glass, refractory materials.
Status: Industrial field; production data not specified.</t>
  </si>
  <si>
    <t>1 | Feldspar–quartz pegmatite/aplite veins with mapped dimensions and mineral composition, demonstrating clear geological occurrence. Data Quality: 0
Justification: Although vein dimensions and mineralogical composition are described, no quantitative tonnage, reserve, or grade data are reported. Without numerical size or resource figures, the information cannot be translated into a CRIRSCO style tonnage–grade framework.
Classification Alignment: 0
Justification: No GKZ, UNFC, or other formal reserve or resource classification category is stated. Despite being referred to as an industrial field, there is no explicit classification anchor that could be crosswalked to PERC categories.</t>
  </si>
  <si>
    <t>Lozuvatske</t>
  </si>
  <si>
    <t xml:space="preserve"> 48° 3'58.36"N</t>
  </si>
  <si>
    <t xml:space="preserve"> 33°20'32.00"E</t>
  </si>
  <si>
    <t>Deposit type: Pegmatite.
Field: Andriivske Field (includes Kamyana Skelya, Chervona Hora).
Structure: Pegmatite veins 200–500 m long, 20–60 m thick.
Host rocks: Biotite gneisses and migmatites.
Mineralogy: Microcline, plagioclase, quartz, muscovite, accessory biotite.
Operator: Georesurs LLC.
Industrial use: Ceramic and glass feldspar.
Status: Operating on a small scale; field industrially significant.</t>
  </si>
  <si>
    <t>1 | Pegmatite veins with documented size, host rocks, and mineralogy, confirming geological presence of feldspar mineralisation. Data Quality: 0
Justification: Although vein dimensions, mineralogy, and industrial use are described, no quantitative tonnage, reserve figures, or grade data are provided. Without numerical size or resource estimates, the information cannot be translated into a CRIRSCO style tonnage–grade framework.
Classification Alignment: 0
Justification: No GKZ, UNFC, or other formal reserve or resource classification category is stated. Small-scale operation or industrial significance alone does not constitute a classification anchor that can be crosswalked to PERC categories.</t>
  </si>
  <si>
    <t>Bilchakivske</t>
  </si>
  <si>
    <t xml:space="preserve"> 50°49'8.08"N</t>
  </si>
  <si>
    <t xml:space="preserve"> 27° 9'44.60"E</t>
  </si>
  <si>
    <t>Deposit type: Pegmatite and feldspathic granite.
Field: Volyn–Podillya pegmatite belt.
Host rocks: Biotite-plagioclase gneisses, migmatites.
Mineralogy: K-feldspar, quartz, plagioclase; minor muscovite.
Use: Porcelain and technical ceramics.
Economic status: Evaluated and partially prospected; not industrially mined.</t>
  </si>
  <si>
    <t>1 | Evaluated pegmatite and feldspathic granite bodies with defined host rocks and mineral assemblages, indicating in-ground feldspar mineralisation. Data Quality: 0
Justification: The entry provides descriptive geological and mineralogical information and notes evaluation and partial prospecting, but no quantitative tonnage, reserve, or grade data are reported. Without numerical size or resource estimates, the data cannot be translated into a CRIRSCO style tonnage–grade framework.
Classification Alignment: 0
Justification: No GKZ, UNFC, or other formal reserve or resource classification category is stated. Evaluation or partial prospecting alone does not constitute a classification anchor that could be crosswalked to PERC categories.</t>
  </si>
  <si>
    <t>Bilchaky</t>
  </si>
  <si>
    <t>1 | Same geological entity as Bilchakivske with described pegmatite/granite feldspar mineralisation, confirming geological evidence. Data Quality: 0
Justification: The entry contains only qualitative geological, mineralogical, and end-use descriptions. There are no quantitative tonnage, reserve, or grade data reported. As such, the information cannot be translated into a CRIRSCO or PERC compatible tonnage–grade framework.
Classification Alignment: 0
Justification: No GKZ, UNFC, or other formal reserve or resource classification category is stated. Being evaluated or partially prospected does not constitute a classification anchor suitable for crosswalking to PERC categories.</t>
  </si>
  <si>
    <t>Ustya</t>
  </si>
  <si>
    <t xml:space="preserve"> 50°47'20.53"N</t>
  </si>
  <si>
    <t xml:space="preserve"> 27°11'43.62"E</t>
  </si>
  <si>
    <t>1 | Pegmatite and feldspathic granite bodies described within a recognised pegmatite belt, providing clear geological evidence of feldspar. Data Quality: 0
Justification: The entry provides only qualitative geological, mineralogical, and end-use information. No quantitative tonnage, reserve, or grade data are reported, so the information cannot be translated into a CRIRSCO or PERC compatible tonnage–grade framework.
Classification Alignment: 0
Justification: No GKZ, UNFC, or other formal reserve or resource classification category is stated. Evaluation or partial prospecting alone does not constitute a classification anchor for crosswalking to PERC categories.</t>
  </si>
  <si>
    <t>Dubrynytske</t>
  </si>
  <si>
    <t>Microgranodiorite</t>
  </si>
  <si>
    <t xml:space="preserve"> 48°47'14.22"N</t>
  </si>
  <si>
    <t xml:space="preserve"> 22°29'14.40"E</t>
  </si>
  <si>
    <t>Deposit type: Microgranodiorite feldspar rock.
Field: Dubrynytske massif in the Transcarpathian depression.
Rock composition: Plagioclase (oligoclase-andesine), K-feldspar, quartz, hornblende, biotite.
Industrial use: Glass and ceramics.
Economic status: Small-scale; potential regional source.</t>
  </si>
  <si>
    <t>1 | Microgranodiorite feldspar-bearing rock with defined mineral composition and massif-scale geological context, confirming in-situ mineralisation. Data Quality: 0
Justification: The entry provides qualitative geological description, mineralogy, and intended industrial use, but no quantitative tonnage, reserve, or grade data are reported. Without numerical size or quality parameters, the information cannot be translated into a CRIRSCO or PERC compatible tonnage–grade framework.
Classification Alignment: 0
Justification: No GKZ, UNFC, or other formal reserve or resource classification category is stated. Small scale or regional potential alone does not constitute a classification anchor suitable for crosswalking to PERC categories.</t>
  </si>
  <si>
    <t>Maidan-Vilske</t>
  </si>
  <si>
    <t>Granitoid</t>
  </si>
  <si>
    <t>Khmelnytskyi</t>
  </si>
  <si>
    <t xml:space="preserve"> 50° 8'30.64"N</t>
  </si>
  <si>
    <t xml:space="preserve"> 27°32'8.48"E</t>
  </si>
  <si>
    <t>Deposit type: Granitoid feldspar resource.
Field: Maidan-Vilsky granitoid complex.
Host rock: Coarse-grained granites and granodiorites.
Composition: Microcline, orthoclase, quartz, plagioclase, mica.
Industrial use: Refractory ceramics and glass.
Operators:
PJSC Maidan-Vilsky Refractory Plant (Khmelivska site) – 295.7 kt (2020).
SE Polonskiy Plant Mayak (Novakivska site) – 284 kt (2020).
Field: Major industrial feldspar centre of Ukraine.</t>
  </si>
  <si>
    <t>1 | Large granitoid feldspar resource forming a major industrial field, clearly demonstrating extensive geological feldspar mineralisation. Data Quality: 0
Justification: Although production figures for 2020 are reported for operating plants, no reserve or resource tonnage, grade, or classified mineral inventory is provided in this entry. Annual output alone does not allow translation into a CRIRSCO or PERC compatible tonnage–grade framework.
Classification Alignment: 0
Justification: No GKZ, UNFC, or other formal reserve or resource classification category is stated for the deposit. Active industrial use and production do not constitute a classification anchor suitable for crosswalking to PERC categories.</t>
  </si>
  <si>
    <t>Mazurivske (Oktyabrske)</t>
  </si>
  <si>
    <t>technogenic</t>
  </si>
  <si>
    <t xml:space="preserve"> 47°19'59.93"N</t>
  </si>
  <si>
    <t xml:space="preserve"> 37°32'47.01"E</t>
  </si>
  <si>
    <t>Deposit type: Technogenic feldspar from rare-metal ore tailings.
Field: Eastern part of the Mazurivske rare-metal deposit.
Area: 8.8 ha tailing dumps.
Stratification:
Upper layer 3–23.9 m (avg 7.4 m) – “sands” (&gt;80 % &gt; 0.1 mm).
Middle 0–15.8 m (avg 3.9 m) – sandy-silty (36 % &lt; 0.1 mm).
Lower ≈ 3.9 m – “loams”.
Reserves: B + C₁ = 825.7 kt; C₂ = ≈ 305 kt.
Industrial use: Recovery of feldspar concentrate from tailings; secondary source.
Field: Investment Atlas of Subsurface User (2021).</t>
  </si>
  <si>
    <t>0 | Technogenic tailings deposit representing processed material rather than primary geological mineralisation. Data Quality: 1
Justification: Quantitative data are clearly reported, including spatial extent (area, stratification thicknesses) and explicit reserve figures expressed in GKZ style categories (B + C1 and C2). The tonnages are numerical, traceable to authoritative sources, and interpretable within a CRIRSCO style tonnage framework, even though the material is technogenic.
Classification Alignment: 1
Justification: Formal GKZ reserve categories (B + C1 and C2) are explicitly stated. Despite being a technogenic deposit, this provides a clear classification anchor that can be crosswalked to PERC resource categories.</t>
  </si>
  <si>
    <t>Nosachivske</t>
  </si>
  <si>
    <t xml:space="preserve"> 49° 8'8.03"N</t>
  </si>
  <si>
    <t xml:space="preserve"> 31°36'27.87"E</t>
  </si>
  <si>
    <t>Deposit type: Technogenic feldspar associated with apatite-ilmenite ores.
Field: Korsun–Novomyrhorod Pluton, Nosachivske norite massif.
Geology: Stockwork zone 2250 m × 200–780 m, crossing the Tarasivskiy and Kanivsko-Novomyrhorodskiy fault zones.
Main minerals: Apatite, ilmenite, norite (P₂O₅ + TiO₂ ore).
By-product: Feldspar raw material from gangue and alteration zones.
Economic use: Possible feldspar recovery in beneficiation; currently primary Ti-P deposit.\</t>
  </si>
  <si>
    <t xml:space="preserve"> 0 | Feldspar mentioned only as a potential by-product within a Ti–P system, without a defined standalone feldspar ore body. Data Quality: 0
Justification: Although the geological setting, dimensions of the stockwork zone, and mineral associations are described in detail, no quantitative tonnage, reserve, or grade figures for feldspar are reported. Feldspar is mentioned only as a potential by product of Ti P ore processing, without numerical estimates that could be translated into a CRIRSCO or PERC compatible tonnage framework.
Classification Alignment: 0
Justification: No GKZ, UNFC, or other formal reserve or resource classification is stated for feldspar at this site. Being a potential secondary product within a primary Ti P deposit does not constitute a classification anchor suitable for crosswalking to PERC categories.</t>
  </si>
  <si>
    <t>Bakhtynske</t>
  </si>
  <si>
    <t xml:space="preserve"> 48°47'51.95"N</t>
  </si>
  <si>
    <t xml:space="preserve"> 27°29'12.47"E</t>
  </si>
  <si>
    <t>Deposit type: Technogenic feldspar-quartz-fluorite ore.
Field: Bakhtyn depression area.
Mineralogy: Feldspar + quartz + fluorite ± mica.
Use: Ceramic and glass industry feedstock.
Economic significance: Secondary feldspar source from fluorite ore processing.</t>
  </si>
  <si>
    <t>0 | Technogenic secondary material derived from fluorite processing, not primary geological feldspar mineralisation. Data Quality: 0
Justification: The entry provides only qualitative information on deposit type, mineralogy, and intended industrial use. No quantitative tonnage, reserve, or grade data are reported for feldspar or associated materials. Without numerical size estimates, the data cannot be translated into a CRIRSCO or PERC compatible tonnage framework.
Classification Alignment: 0
Justification: No GKZ, UNFC, or other formal reserve or resource classification category is stated. Being described as a secondary source from fluorite ore processing does not constitute a classification anchor suitable for crosswalking to PERC categories.</t>
  </si>
  <si>
    <t>Dubrivske</t>
  </si>
  <si>
    <t xml:space="preserve"> 50°17'14.13"N</t>
  </si>
  <si>
    <t xml:space="preserve"> 29°35'26.32"E</t>
  </si>
  <si>
    <t>Deposit type: Alkaline kaolines and feldspar gruss in crystalline rocks (granites, migmatites, plagiogranites, pegmatoid granites).
Field: Polonno-Baranivske Field vicinity.
Operator: Pyatyrichanka LLC (Dubrivske–Pyatyrichka site).
Production: ≈ 24.7 kt (2020).
Use: Porcelain and sanitary ceramics, glass industry.</t>
  </si>
  <si>
    <t xml:space="preserve"> 0 | Industrial production reported from altered rocks and gruss, but no clearly defined primary feldspar ore body is described. Data Quality: 0
Justification: Although annual production is reported (≈ 24.7 kt in 2020) and the material type and industrial use are clearly described, no reserve or resource tonnage, grade, or classified mineral inventory is provided. Production figures alone are insufficient to translate the data into a CRIRSCO or PERC compatible tonnage–grade framework.
Classification Alignment: 0
Justification: No GKZ, UNFC, or other formal reserve or resource classification category is stated. Active production without an explicit classification anchor cannot be crosswalked to PERC categories.</t>
  </si>
  <si>
    <t xml:space="preserve">Shevchenkivske </t>
  </si>
  <si>
    <t>spodumene ores, Li₂O ~1.1–1.5%, 30–35 Mt ore, 400–450 kt Li₂O. 
hosts Ta, Nb, Be, Sn, Rb, Cs, plus feldspar, quartz, mica. Deposit type: Rare-metal pegmatite (lithium-bearing).
Feldspar component: By-product of Li-bearing pegmatite ores.
Industrial potential: Ceramic and glass feldspar recovery during Li extraction.
Field: Donetsk rare-metal pegmatite zone.</t>
  </si>
  <si>
    <t>1 | Feldspar occurs as a documented constituent of a lithium-bearing pegmatite deposit with quantified host ore and clear geological context. Data Quality: 1
Justification: Quantitative data are clearly reported, including ore tonnage (30–35 Mt), Li₂O grade (≈1.1–1.5%), and contained Li₂O (400–450 kt). Although feldspar is described as a by product rather than the primary commodity, the host ore tonnage and grade are explicitly quantified, which allows the deposit to be interpreted within a CRIRSCO style tonnage framework.
Classification Alignment: 0
Justification: No GKZ, UNFC, or other formal reserve or resource classification category is explicitly stated for this entry. Despite the presence of quantified geological estimates, the absence of a formal classification anchor means it cannot be crosswalked to PERC categories.</t>
  </si>
  <si>
    <t>1 | Classic rare-metal pegmatite with documented mineralogical zoning and feldspar-bearing assemblages, confirming geological mineralisation. Data Quality: 0
Justification: Despite very detailed multi element geochemical ranges (Li₂O, Ta₂O₅, Nb₂O₅, Rb₂O, Cs₂O, REE), no tonnage, volume, or resource estimate is reported. Geochemical concentration ranges alone are insufficient to construct a CRIRSCO or PERC compatible tonnage–grade framework.
Classification Alignment: 0
Justification: The site is explicitly described as an occurrence, with no GKZ, UNFC, or other formal reserve or resource classification. There is no classification anchor to crosswalk to PERC categories.</t>
  </si>
  <si>
    <t>LREE - La</t>
  </si>
  <si>
    <t>Azovske</t>
  </si>
  <si>
    <t>alkaline syenite</t>
  </si>
  <si>
    <t xml:space="preserve"> 47°12'42.82"N</t>
  </si>
  <si>
    <t xml:space="preserve"> 37°17'53.07"E</t>
  </si>
  <si>
    <t>Mykhailov, V. A., Malyuk, B., Kovalenko, N., Bertrand, G., de Oliveira, D., Wittenberg, A., Wellmer, F.-W., Horwath, Z., Hollis, J., Wall, P., &amp; Quijano Gaudes, L. (2023). Strategic minerals of Ukraine and their investment attractiveness.
Sheremet, E. M., Strekozov, S. N., Setaya, L. D., &amp; Agarkova, N. G. (2017). Azov rare-earth deposit of Ukrainian Shield as a new investment-attractive type of industrial deposits. Geochemistry and Ore Formation, 38, 80–94. http://jnas.nbuv.gov.ua/article/UJRN-0000806950 [In Russian]</t>
  </si>
  <si>
    <t>Transport
War has damaged a large part of Ukraine’s road and rail network, creating bottlenecks for mineral transport.
Maritime export capacity is limited: several Black Sea and Azov Sea ports have reduced or disrupted operations.
Ukraine’s proximity to the EU is still an advantage: REE concentrates could reach EU processors in days once logistics are restored.
Current reality: transport capacity exists but is fragmented, unreliable, and requires major reconstruction.
Processing
Ukraine has no industrial-scale REE processing or separation plants (no solvent extraction, no high-temperature chlorination, no LREE/HREE separation lines).
Soviet-era deposits were identified, but modern processing infrastructure was never built.
Building a full mine-to-oxide REE chain would require multi-billion-dollar investment.
Result: any future lanthanum production would need to be exported as concentrate to foreign refineries.</t>
  </si>
  <si>
    <t>Type: LREE-rich syenite deposit.
La hosts: britolite, orthite, bastnaesite, monazite.
REE pattern: Ce &gt; Nd &gt; La &gt; Pr &gt; Sm.
Ore grade: ~1.27% TREO.
Brittolite: 41.96–58.36% TREO.
Ore body: lenses to 32 m thick; ~1640 m length; near-surface.
Reserves: 98 kt REO (C1) + 263 kt REO (C2) = 361 kt REO.
Zr zones: zircon 5–10% (locally 50–60%).
La share: major LREE; ~10–20% of TREO (based on mineral distribution).
Formation: high-T alkaline melt (inclusions 1250–1160°C).
Processing: magnetic + gravity + flotation; separate REE/Zr circuits; complex due to silicate REE minerals.
Economics: large deposit; industrial significance; reserves exceed some North American REE deposits; high investment attractiveness (score 71); favourable geometry, low mining cost.
La economic role: recovered in LREE concentrate; significant contributor to total REE value.</t>
  </si>
  <si>
    <t>1 | Alkaline syenite-hosted LREE deposit with clearly described orebody geometry, mineral hosts (bastnaesite, monazite, britolite), alteration style, and in-situ rare-earth mineralisation, providing unequivocal geological evidence. Data Quality: 1
Justification: Robust quantitative geological and resource data are reported. These include ore geometry, TREO grade (~1.27%), mineral hosts, processing routes, and explicit numerical reserve figures expressed as contained REO (C1 = 98 kt REO; C2 = 263 kt REO). These data are traceable to authoritative sources and are fully interpretable within a CRIRSCO style tonnage–grade framework, even though lanthanum is recovered as part of an LREE concentrate rather than as a standalone product.
Classification Alignment: 1
Justification: Formal GKZ style resource categories (C1 and C2) are explicitly stated. This provides a clear classification anchor that can be directly crosswalked to PERC resource categories.</t>
  </si>
  <si>
    <t>Anadolske</t>
  </si>
  <si>
    <t xml:space="preserve"> 47°28'58.14"N</t>
  </si>
  <si>
    <t xml:space="preserve"> 37°36'23.37"E</t>
  </si>
  <si>
    <t xml:space="preserve">RM Minings LLC. (2021). About Anadol: Anadol deposit – Quality and ecologically rare earth ore. https://rmminings.com/about-anadol/
State Service of Geology and Mineral Resources of Ukraine. (2019). Anadol rare earth deposit: Geological characteristics, reserves, logistics, and economic indicators (Special permit No. 6370). Government of Ukraine. </t>
  </si>
  <si>
    <t>Key Information from the Licence
Permit: Special Permit for Subsoil Use №6370
Issued: 20 June 2019
Authority: State Service of Geology and Mineral Resources of Ukraine
Activity: Mining of rare earth ores
Deposit
Name: Anadolske deposit
Location: Donetsk Oblast, Volnovakha Raion
Position: 2–3 km southeast of Andriivka
Coordinates
Polygon defined by points T1–T14
Latitudes: 47°36'36" to 47°36'52"
Longitudes: 37°59'28" to 38°00'01"
Depth &amp; Reserves
Depth limit: 200 m
Reserves:
C1: 635.22 t
P1: 6.94 kt
Ore Quality
Average grade ΣTREO: 3.47%
REE distribution:
Ce₂O₃: 50%
La₂O₃: 22.4%
Nd₂O₃: 20%
Pr₂O₃: 4.2%
Other REE: 3.4%
Total LREE in concentrate: 97.17%
Reserves / Resources
Total REE ore (national standards): 835,265.9 t
Listed under national standards, and compliant with JORC and NI 43-101 formats.
Global Comparison
Charted grade (3.47% ΣTREO) places Anadol among the highest-grade REE deposits worldwide (similar to or higher than Kvanefjeld, Motzfeldt, Fen, Norra Kärr, etc.).
Logistics
Sales point: Port of Mariupol
Distance: 47 km
3 km by road
58 km by rail
Economic Metrics
Annual net profit: USD 17.6 million
Net cash flow: USD 260 million
NPV: USD 97 million
Payback period: 2 years
Strategic Importance
REE essential for high-tech products and green energy.
Global REE market expected to grow ~8% per year (2019–2024).
Reserves and Resources
The deposit contains both REE ore and significant crushed stone resources. According to national reporting standards:
REE ore reserves: 635221 t
REE ore resources: 200044 t
Total REE ore: 835265 t
Crushed stone resources: 17877000 t
The ore body has an average thickness of 1.7 m. The average grade of total rare earth oxides Σ(TR)O in reserves and resources is 3.47 percent, with a cut off grade of 0.3 percent. The Σ(TR)O composition is strongly light REE dominated:
La2O3: 22.4 percent
Ce2O3: 50.02 percent
Pr2O3: 4.22 percent
Nd2O3: 20.05 percent
Mining Method
Mining is planned by open pit methods during the initial stage, reaching an elevation of plus ninety meters above sea level, equivalent to a depth of one hundred meters. A combined method may be introduced as mining progresses. The favourable mining conditions, including the outcropping of the ore body, allow for rapid development and early revenue generation.
Key advantages include:
Simple geology and accessible ore
Short start up period of approximately one year
Quick payback during the open pit phase
Possibility to integrate crushed stone production from overburden
Planned mine life of 20 years
One year of exploration
Fifteen years of open pit mining
Five years of underground mining
Exploration Work
Exploration included trenching, drilling and extensive laboratory testing:
Drill holes: 24
Trenches: 23
Chemical tests: 105 samples from drilling and 231 from trenches
Spectral assays: 214 samples from drilling and 254 from trenches
Soil samples: 171
The geological model confirms a continuous, shallow dipping ore zone with consistent thickness and grade, supporting the potential for long term, cost effective extraction.</t>
  </si>
  <si>
    <t>1 | Alkaline syenite-hosted rare-earth deposit with a continuous, shallow-dipping ore zone confirmed by trenching and drilling, quantified mineralogy, and clearly documented in-ground LREE mineralisation. Data Quality: 1
Justification: This entry contains very strong quantitative information. Reported data include explicit ore tonnage, ΣTREO grade (3.47%), REE distribution (including La₂O₃ share), orebody geometry, mining method, cut off grade, and extensive exploration work (drilling, trenching, assays). Resource and reserve figures are numerically stated and traceable to official permit documentation. These data are fully interpretable within a CRIRSCO style tonnage–grade framework.
Classification Alignment: 1
Justification: Formal national resource and reserve categories are explicitly stated (C1 and P1), tied to a Special Permit issued by the State Service of Geology and Mineral Resources of Ukraine. The documentation explicitly claims compatibility with JORC and NI 43-101 formats, providing a very strong classification anchor that can be crosswalked to PERC categories.</t>
  </si>
  <si>
    <t>Petrovo-Gnutivske</t>
  </si>
  <si>
    <t xml:space="preserve"> 47°35'42.91"N</t>
  </si>
  <si>
    <t xml:space="preserve"> 37°56'55.43"E</t>
  </si>
  <si>
    <t>Mykhailov, V. A., Malyuk, B., Kovalenko, N., Bertrand, G., de Oliveira, D., Wittenberg, A., Wellmer, F.-W., Horwath, Z., Hollis, J., Wall, P., &amp; Quijano Gaudes, L. (2023). Strategic minerals of Ukraine and their investment attractiveness.</t>
  </si>
  <si>
    <t>Location: Kalmius River valley, NE of Mariupol; endocontact zone of the Kalmiuskiy Massif.
Orebody: Steep fluorite–rare-earth carbonate vein, up to 3 m thick, traced 1 km NE (20°), depth &gt;150 m.
Mineralogy (vein): Coarse calcite, bastnaesite, parisite, fluorite.
Footwall: Diallage syenites fenitised over 25–30 m; albitised K-feldspar rocks with opal-like blue quartz; stockwork veins; orthite ≤11%.
Hanging wall: Granosyenites altered to apatite–sphene–albite–arfvedsonite–aegirine phenites containing zircon, chevkinite, ilmenite, magnetite, hematite; zone ≤10 m; titanite veinlets with 0.37% Nb₂O₃ and 1.28% TR₂O₃; fluorite–carbonate–aegirine reaction rims at vein contact.
Paragenesis:
Early: fluocerite, bastnaesite, parisite, calcite.
Late: fluorite, galena, argentite, sulphides.
Age: Galena 2.1–1.92 Ga.
REE characteristics:
Rare-earth fluoro-carbonates 15–20% of rock.
Bastnaesite 62.6% TR₂O₃, parisite 52.3% TR₂O₃.
Selective Ce enrichment.
Parisite: La+Nd = 94.7%, Sm+Lu = 5.3%.
Fluorite: Y + HREE = 87.6–98.3% of REE.
Context: Similar REE mineralisation also occurs in feldspar metasomatites of the Kirovogradskiy UOA (Lozuvatske, Kalynivske, Pivdenne).</t>
  </si>
  <si>
    <t>1 | Steep fluorite–REE carbonate vein system with well-documented geometry, mineral assemblages, alteration halos, and in-situ rare-earth mineralisation, providing clear geological evidence despite the absence of quantified resources. Data Quality: 0
Justification: The entry provides a very detailed qualitative geological and mineralogical description of the REE mineralisation (orebody geometry, mineral hosts, REE distributions within minerals, alteration zones). However, no quantitative ore tonnage, reserve, or resource figures are reported. Mineral percentages and TR₂O₃ contents within individual minerals do not constitute a deposit-scale tonnage–grade framework that could be interpreted under CRIRSCO or PERC.
Classification Alignment: 0
Justification: No GKZ, UNFC, or other formal reserve or resource classification categories are stated. The deposit is described purely in geological terms, without a classification anchor that could be crosswalked to PERC categories.</t>
  </si>
  <si>
    <t>LREE - Ce</t>
  </si>
  <si>
    <r>
      <t xml:space="preserve">Ce-rich fluorocarbonate vein occurrence; Kalmius River valley NE of Mariupol; main vein fluorite-carbonate-REE, thickness 0.5 to 2.85 m, traced 270 m to 1 km, depth &gt;150 m; hosted in fenitized granosyenites (Kalmiuskiy Massif); footwall diallage syenites fenitized 25 to 30 m; hanging-wall phenites (apatite-sphene-albite-arfvedsonite-aegirine) 10 m; mineralisation early fluocerite-bastnaesite-parisite-calcite, late fluorite-galena-argentite-sulphides; </t>
    </r>
    <r>
      <rPr>
        <b/>
        <sz val="12"/>
        <color theme="1"/>
        <rFont val="Aptos Narrow"/>
        <family val="2"/>
        <scheme val="minor"/>
      </rPr>
      <t>parisite 25 to 75 percent of ore, TR₂O₃ 52 to 70 percent</t>
    </r>
    <r>
      <rPr>
        <sz val="12"/>
        <color theme="1"/>
        <rFont val="Aptos Narrow"/>
        <family val="2"/>
        <scheme val="minor"/>
      </rPr>
      <t xml:space="preserve">; </t>
    </r>
    <r>
      <rPr>
        <b/>
        <sz val="12"/>
        <color theme="1"/>
        <rFont val="Aptos Narrow"/>
        <family val="2"/>
        <scheme val="minor"/>
      </rPr>
      <t>bastnaesite TR₂O₃ 62.6 percent</t>
    </r>
    <r>
      <rPr>
        <sz val="12"/>
        <color theme="1"/>
        <rFont val="Aptos Narrow"/>
        <family val="2"/>
        <scheme val="minor"/>
      </rPr>
      <t xml:space="preserve">; fluorite 9 percent; orthite up to 11 percent in stockwork veins; selective </t>
    </r>
    <r>
      <rPr>
        <b/>
        <sz val="12"/>
        <color theme="1"/>
        <rFont val="Aptos Narrow"/>
        <family val="2"/>
        <scheme val="minor"/>
      </rPr>
      <t>Ce-dominant composition</t>
    </r>
    <r>
      <rPr>
        <sz val="12"/>
        <color theme="1"/>
        <rFont val="Aptos Narrow"/>
        <family val="2"/>
        <scheme val="minor"/>
      </rPr>
      <t xml:space="preserve">; in parisite </t>
    </r>
    <r>
      <rPr>
        <b/>
        <sz val="12"/>
        <color theme="1"/>
        <rFont val="Aptos Narrow"/>
        <family val="2"/>
        <scheme val="minor"/>
      </rPr>
      <t>La+Nd 94.7 percent</t>
    </r>
    <r>
      <rPr>
        <sz val="12"/>
        <color theme="1"/>
        <rFont val="Aptos Narrow"/>
        <family val="2"/>
        <scheme val="minor"/>
      </rPr>
      <t>, Sm+Lu 5.3 percent; in fluorite Y + HREE 87.6 to 98.3 percent; fluorocarbonates total 15 to 20 percent; rare earth fluorite-carbonate ore forms 8 to 10 percent of vein mass; ore reserves fluorite 28.5 kt; uneconomic grade for standalone mining; deposit type: high-grade cerium fluorocarbonate vein; strong fenitization, carbonate-fluorite veins in shear zones; part of high-investment-attractiveness REE targets. Petrovo-Gnutivske | Ce-rich fluorite-carbonate vein; fenitized granosyenites | 0.5–2.85 m thick; traced 270 m; depth &gt;150 m | High Ce (bastnaesite/parisite TR₂O₃ 52–70 percent) | No reserves | Small tonnage; uneconomic | Not economic</t>
    </r>
  </si>
  <si>
    <t>0 | Ce-rich fluorocarbonate vein occurrence with very detailed mineralogical and structural description, but no reported deposit-scale ore tonnage or REE reserve or resource figures for cerium. The only quantified tonnage applies to fluorite, which does not constitute geological evidence for Ce as a standalone resource. Data Quality: 0
Justification: Despite extremely detailed geological and mineralogical information and very high mineral-scale TR₂O₃ contents, there is no deposit-scale ore tonnage or REE reserve/resource estimate for cerium or total REE. The only numerical tonnage mentioned relates to fluorite (28.5 kt) and does not translate into a CRIRSCO or PERC compatible tonnage–grade framework for Ce. Statements explicitly note small tonnage and uneconomic status.
Classification Alignment: 0
Justification: No GKZ, UNFC, or other formal reserve or resource classification is reported. The entry explicitly states “no reserves” and “not economic,” leaving no classification anchor that could be crosswalked to PERC categories.</t>
  </si>
  <si>
    <t>Vein-stockwork REE deposit; Donetsk region, Ukrainian Shield; ore zone 0.7–3.0 m thick, length ~1000 m, dip 30–45° SW, traced to 400 m depth; hosted in Anadol granites and metamorphic rocks of Zakhidnopryazovska Series; orthite-fluorite-apatite vein dike near mylonite zone; mineralisation massive, banded, coarse and fine; high Fe Ca Mn P F, low SiO₂ Al₂O₃; main REE minerals: orthite (23.7 percent TR₂O₃), cerite (70.1 percent TR₂O₃), bastnaesite (60 percent TR₂O₃), apatite (cerium varieties), fluorite (cerium varieties); Ce dominant: Σ(TR)O composition Ce₂O₃ 50 percent, La₂O₃ 22.4 percent, Nd₂O₃ 20 percent, Pr₂O₃ 4.2 percent, other REE 3.4 percent; LREE share ~97 percent; average Σ(TR)O grade 3.47 percent (cutoff 0.3 percent); reserves 635221 t, resources 200044 t, total 835266 t; ore body avg thickness 1.7 m; mining: planned open pit to +90 m asl then combined system, simple conditions with outcrop, fast start and payback; mine life 20 years (15 opencast + 5 underground); exploration: 24 drill holes, 23 trenches, 105 chemical tests, 231 chemical tests trenches, 214 spectral assays, 254 spectral assays trenches, 171 soil samples; logistics: 47 km to Mariupol port (3 km truck + 58 km rail); licensed area 16.2 ha, land 34 ha, permit 6370 (20 Sept 2019); economic: NPV 97 MUSD, net cash flow 260 MUSD, payback 2 years, annual profit 17.6 MUSD; metallogenic type Ce La Pr Nd enriched alkaline syenite related REE deposit within Kryvyi Rih–Pavlovsk zone; high grade and ecologically clean REE ore. Anadolske | REE (Ce-dominant) orthite-fluorite-apatite vein-stockwork; syenite–migmatite host | 0.7–3 m thick, 1 km long, to 400 m depth | Grade ΣTREO 3.47 percent; Ce₂O₃ 50 percent | Reserves 635221 t; Resources 200044 t | Open pit then UG; simple mining | Economic (significant)</t>
  </si>
  <si>
    <t>1 | Alkaline syenite hosted REE deposit with continuous vein-stockwork ore zone, quantified geometry, extensive drilling and trenching, and explicitly reported ore tonnage and grades. Cerium is a dominant component of the LREE budget, providing unequivocal geological evidence. Data Quality: 1
Justification: The entry provides very strong quantitative data, including ore geometry, ΣTREO grade (3.47%), detailed REE distribution (Ce-dominant), explicit reserve and resource tonnages (reserves 635,221 t; resources 200,044 t; total 835,266 t), mining method, cut-off grade, exploration density, and economic indicators. These data are fully interpretable within a CRIRSCO style tonnage–grade framework.
Classification Alignment: 1
Justification: Formal national classification categories are stated (C1 reserves and P1 resources) and are tied to Special Permit No. 6370 issued by the State Service of Geology and Mineral Resources of Ukraine. The documentation explicitly claims compatibility with JORC and NI 43-101, providing a very strong PERC crosswalk anchor.</t>
  </si>
  <si>
    <t>Alkaline syenite rare earth deposit; Azov region, Ukrainian Shield; hypersolvus syenites; crescent bodies 0.5–2 km wide, to 10 km long, 250–900 m thick; disseminated REE Zr Nb ore; Ce belongs to the dominant LREE group in the deposit; REE minerals include britolite, orthite, monazite, bastnaesite (Ce rich), chevkinite, zircon, fluorite; Ce concentrated mainly in bastnaesite, monazite and Ce-rich britolite; REE pattern: strong LREE with significant Ce component plus high Y and HREE; contained Ce group REE: 275 kt; Ce+La+Nd form the major share of total LREE budget; Ce enriched metasomatic zones present; industrial grades: total REE oxides ~1.77 percent, REE avg 1.19 percent; ZrO₂ 1.81 percent; reserves: ore 30400 kt, REE 361.8 kt (Ce group 275 kt, Y group 86.8 kt), ZrO₂ 550 kt; economic notes: Ce-bearing bastnaesite and monazite form industrially significant concentrates; Ce contributes major value within the LREE basket; deposit type: non traditional hypersolvus syenite REE Zr Nb system; high economic potential. Azovske | REE-Zr-Nb syenite; nepheline-free | Large intrusive body; multiple ore zones | REE 361800 t (Ce-group 275000 t); ZrO₂ 550000 t | Ore 30.4 Mt (C1+C2) | Major strategic resource | Economic (significant)</t>
  </si>
  <si>
    <t>1 | Large alkaline syenite hosted REE Zr Nb system with disseminated mineralisation, multiple Ce-bearing minerals, and reported ore tonnage and contained Ce-group REE. The scale, continuity, and quantification of mineralisation provide clear geological evidence. Data Quality: 1
Justification: The entry reports strong quantitative data, including ore tonnage (≈30.4 Mt), total REE content (≈361.8 kt), explicit Ce-group content (≈275 kt), grades for TREO and associated ZrO₂, and clear geological context. These figures are consistent with earlier Azovske reporting and are fully interpretable within a CRIRSCO style tonnage–grade framework.
Classification Alignment: 1
Justification: Formal GKZ-style resource categories (C1 + C2) are explicitly stated in the literature for Azovske. This provides a solid classification anchor that can be crosswalked to PERC categories.</t>
  </si>
  <si>
    <t>Novopoltavske</t>
  </si>
  <si>
    <t>Carbonatite</t>
  </si>
  <si>
    <t xml:space="preserve"> 47°15'42.88"N</t>
  </si>
  <si>
    <t xml:space="preserve"> 36°15'24.87"E</t>
  </si>
  <si>
    <t>"Mykhailov, V. A., Malyuk, B., Kovalenko, N., Bertrand, G., de Oliveira, D., Wittenberg, A., Wellmer, F.-W., Horwath, Z., Hollis, J., Wall, P., &amp; Quijano Gaudes, L. (2023). Strategic minerals of Ukraine and their investment attractiveness.
KRYVDIK, S.G., &amp; DUBYNA, O.V. (2012). ORE-BEARING ABILITY IN RARE METALS OF PROTEROZOIC MAGMATIC COMPLEXES IN THE UKRAINIAN SHIELD. Geologìčnij Žurnal (Geological Journal). http://geojournal.igs-nas.org.ua/article/view/139205"
State Geologic and Subsoil Survey of Ukraine. (2022, February). Novopoltavske field – mine Pivdenne, mine Pivniche: Mineral-resource overview [PDF]. https://www.geo.gov.ua/wp-content/uploads/2022/02/novopoltavske_en.pdf</t>
  </si>
  <si>
    <t>Carbonatite rare metal deposit; Zaporizhzhia region; area 938 ha; calcite dolomite carbonatites; apatite 3–30 percent, magnetite 0–15 percent; REE Nb Ta Sr U F mineralisation; accessory minerals: pyrochlore, fergusonite, baddeleyite, columbite, monazite, orthite, zircon; weathering crust enriched in Nb and REE; Zr bodies avg ZrO₂ 0.52 percent (cutoff 0.3 percent), concentrate 64 percent ZrO₂, 1 percent HfO₂; Nb₂O₅ avg C1 0.206 percent, C2 0.152 percent; dense ore concentrate Nb₂O₅ 22.6 percent at 36 percent recovery; reserves (thousand tons): apatite B+C₁ 859628/42310, C₂ 95858/4268, off balance 34039/1593; strontium B+C₁ 859627/865, C₂ 95858/87; REE ores B+C₁ 85962/1938, C₂ 95858/274; fluorine B+C₁ 859628/1911.7, 95858/192.7; magnetite concentrate B+C₁ 19452.3, C₂ 2158.9; carbonate raw materials B+C₁ 357797.6, C₂ 44326.6; info on Ta Nb U reserves limited; hydrogeology difficult (multiple aquifers, swelling clays, high inflow); mining: underground, bottom up with backfill. Novopoltavske | Carbonatite REE-Nb-Ta-Sr-Zr | Complex carbonatite pipes; multiple ore types | State reserves: REE B+C1 85962/1938; C2 95858/274 (kt/t) | Multicommodity | Major Ukrainian REE-Nb deposit | Economic (significant)</t>
  </si>
  <si>
    <t xml:space="preserve"> 1 | Carbonatite hosted multicommodity deposit with reported GKZ reserve figures for REE ores. Cerium occurs as part of the REE assemblage in monazite and orthite within well defined ore bodies, confirming in-ground geological evidence. Data Quality: 1
Justification: This entry contains extensive, well structured quantitative data across multiple commodities. Numerical reserve figures are reported for REE, Nb, apatite, Sr, fluorine, magnetite, Zr bearing bodies, and carbonate raw materials, with grades, cut off values, and beneficiation performance. The data are traceable to official State Geological Service documentation and are fully interpretable within a CRIRSCO style tonnage grade framework, despite the geological and hydrogeological complexity.
Classification Alignment: 1
Justification: Formal GKZ style reserve and resource categories (B + C1 and C2) are explicitly stated for multiple commodities. This provides a strong classification anchor that can be directly crosswalked to PERC categories.</t>
  </si>
  <si>
    <t>Yastrubetske</t>
  </si>
  <si>
    <t xml:space="preserve"> 51°25'7.48"N</t>
  </si>
  <si>
    <t xml:space="preserve"> 27°55'35.36"E</t>
  </si>
  <si>
    <t>Mykhailov, V. A., Malyuk, B., Kovalenko, N., Bertrand, G., de Oliveira, D., Wittenberg, A., Wellmer, F.-W., Horwath, Z., Hollis, J., Wall, P., &amp; Quijano Gaudes, L. (2023). Strategic minerals of Ukraine and their investment attractiveness.
KRYVDIK, S.G., &amp; DUBYNA, O.V. (2012). ORE-BEARING ABILITY IN RARE METALS OF PROTEROZOIC MAGMATIC COMPLEXES IN THE UKRAINIAN SHIELD. Geologìčnij Žurnal (Geological Journal). http://geojournal.igs-nas.org.ua/article/view/139205</t>
  </si>
  <si>
    <t>Uncertain</t>
  </si>
  <si>
    <t>Alkaline syenite hosted; crescent ore zones; length 2 km; thickness 5 to 120 m; depth 500 to 1000 m high grade Zr; minerals: zircon, britolite, orthite, bastnaesite, parisite, fluorite; REE 0.07 to 0.3 percent, max 1.24 percent; Y rich zircon, Y Ce britolite; Zr REE metasomatite; byproducts: feldspar, fluorite. Deposit type: hypersolvus alkaline syenite hosted Zr REE deposit
Geological setting: Perzhansky ore camp; Yastrubetske alkaline syenite massif
Genetic link: anorthosite rapakivi granite plutons; South Kalchyk massif
Ore zone geometry: crescent zones; length ~2 km; thickness 5 to 120 m
Depth: high grade Zr horizons at 550 to 1100 m; drilled to 1500 m
Mineralisation style: disseminated; veinlet; metasomatic syenite zones
Main minerals: zircon, britolite, orthite, bastnaesite, parisite, fluorite
Zircon chemistry: Y rich zircon
Britolite chemistry: Y Ce type
REE grade: 0.07 to 0.3 percent; max 1.24 percent
Zr content: high grade zirconium horizons at depth (multiple meters thick)
Associated elements: Zr, Y, REE (LREE dominant with Y enrichment), Ti, Fe
Host rocks: alkaline syenites; pegmatoid syenites
Alteration: alkaline metasomatism; feldspar amphibole intergrowths
Metallogenic type: non traditional rare metal syenite system
Economic notes: large deposit; depth complicates mining; potential byproducts: feldspar, fluorite
Exploration potential: study predicts large undiscovered syenite type Zr REE deposits over &gt;20,000 km²
Yastrubetske | REE-Zr syenites; britolite, bastnaesite | Deep bodies &gt;500 m; large system | Ce-bearing minerals; high Zr | No reserve categories stated | Depth limits mining; future potential | Not currently economic</t>
  </si>
  <si>
    <t>0 | Alkaline syenite hosted REE Zr system with described Ce-bearing minerals and grade ranges but without reported ore tonnage, reserves, or resources. Lack of quantified in-ground mineral inventory prevents binary geological confirmation. Data Quality: 0
Justification: The entry provides extensive qualitative and semi-quantitative geological information (geometry, depth, mineralogy, grade ranges, alteration style), but no numerical ore tonnage, reserve, or resource figures are reported. Grade ranges alone, without tonnage, cannot be translated into a CRIRSCO or PERC compatible tonnage–grade framework.
Classification Alignment: 0
Justification: No GKZ, UNFC, or other formal reserve or resource classification categories are stated. The status is explicitly uncertain or not currently economic, leaving no classification anchor that could be crosswalked to PERC categories.</t>
  </si>
  <si>
    <t>LREE - Pr</t>
  </si>
  <si>
    <t>Pr₂O₃ 4.22 percent of ΣTREO (ΣTREO 3.47 percent); Pr in ore ≈ 0.146 percent; LREE dominant ore (Ce 50 percent, La 22.4 percent, Nd 20 percent); Pr hosted in orthite (23.7 percent TR₂O₃), cerite (70.1 percent TR₂O₃), bastnaesite (60 percent TR₂O₃), Ce-type apatite and fluorite; Pr enriched in metasomatic fluorite-apatite-orthite vein stockworks (0.7–3 m, 1 km length); Pr follows LREE hydrothermal zoning; mineralisation shallow and accessible; Pr recoverable via standard LREE flotation/leaching; contributes to magnet-metal value; part of economically significant REE reserve base (total ore 835266 t).</t>
  </si>
  <si>
    <t xml:space="preserve"> 1 | Alkaline syenite hosted REE deposit with explicitly reported total ore tonnage (835,266 t), ΣTREO grade (3.47%), and quantified REE distribution in which Pr₂O₃ constitutes 4.22% of ΣTREO. Pr content can be directly derived within a CRIRSCO style tonnage–grade framework, providing unequivocal geological evidence. Data Quality: 1
Justification: Quantitative data are already established for the Anadolske deposit, including total ore tonnage (835,266 t), ΣTREO grade (3.47%), and explicit REE distribution in which Pr₂O₃ constitutes 4.22% of ΣTREO. This allows derivation of Pr content within a CRIRSCO-style tonnage–grade framework. The geological, mineralogical, and processing context is consistent with the previously scored Anadolske entry.
Classification Alignment: 1
Justification: Formal national classification categories (C1 reserves and P1 resources) tied to Special Permit No. 6370 are already documented for Anadolske and apply equally to Pr as part of the LREE basket. This provides a valid PERC crosswalk anchor.</t>
  </si>
  <si>
    <t>Present in LREE minerals, no % reported</t>
  </si>
  <si>
    <t>0 | Petrovo-Gnutivske is described only in qualitative mineralogical terms with LREE presence noted but no quantified Pr grade, ore tonnage, or reserve or resource estimates. This is insufficient to demonstrate in-ground geological evidence for praseodymium. Data Quality: 0
Justification: The entry only states that LREE are present, with no quantitative grades, tonnage, or resource estimates reported. Without numerical data, the information cannot be translated into a CRIRSCO or PERC compatible tonnage–grade framework.
Classification Alignment: 0
Justification: No GKZ, UNFC, or other formal reserve or resource classification is stated. The absence of quantified data and explicit classification leaves no anchor for crosswalking to PERC categories.</t>
  </si>
  <si>
    <t>1 | Azovske is a large alkaline syenite hosted REE deposit with reported ore tonnage, total REE content, and GKZ classified resources (C1 + C2). Although Pr is not individually quantified in this row, it forms part of the documented LREE basket within a well established deposit-scale tonnage–grade framework. Data Quality: 1
Justification: Azovske has already been documented with full quantitative data in earlier entries, including ore tonnage, total REE content, and explicit Ce-group quantities under GKZ categories (C1 + C2). This row adds no new information but inherits the established deposit-scale tonnage–grade framework.
Classification Alignment: 1
Justification: Formal GKZ resource categories (C1 + C2) are already reported for Azovske in the authoritative literature. That classification anchor applies regardless of whether the commodity is expressed generically as “LREE present” or broken down by element.</t>
  </si>
  <si>
    <t>Present in LREE minerals, no % reported. Large, but main ore bodies are deeper than 500 m.No active mining; depth makes costs high Geologically promising, but not currently economic.</t>
  </si>
  <si>
    <t>0 | Yastrubetske is described as geologically promising with LREE bearing minerals present, but no quantified ore tonnage, Pr grade, or classified resources are reported. Deep ore bodies and lack of formal resource reporting prevent confirmation of geological evidence. Data Quality: 0
Justification: The entry only states that LREE are present and provides qualitative remarks on size, depth, and economic constraints. No quantitative grades, tonnage, or resource estimates are reported. Without numerical data, this cannot be translated into a CRIRSCO or PERC compatible tonnage–grade framework.
Classification Alignment: 0
Justification: No GKZ, UNFC, or other formal reserve or resource classification categories are stated. The deposit is explicitly described as not currently economic, with deep ore bodies and no active mining, leaving no classification anchor for PERC crosswalking.</t>
  </si>
  <si>
    <t>Present in LREE minerals, no % reported. Very high-grade Ce fluorocarbonates but small tonnage.
Explicitly described as uneconomic, even with fluorspar and polymetals. Not economic.</t>
  </si>
  <si>
    <t>1 | Novopoltavske is a carbonatite hosted multicommodity deposit with extensive GKZ classified reserve and resource data reported for REE ores. Pr occurs as part of the LREE assemblage within these quantified ore bodies, confirming geological evidence despite economic constraints. Data Quality: 1
Justification: Novopoltavske has already been documented earlier with extensive quantitative reserve and resource data under GKZ categories (B + C1 and C2) for REE and associated commodities, supported by official State Geological Survey documentation. This row adds no new quantitative information, but it inherits the established tonnage–grade framework from the parent deposit.
Classification Alignment: 1
Justification: Formal GKZ reserve and resource categories are explicitly reported for Novopoltavske in the authoritative sources already used. That classification anchor applies regardless of later qualitative statements about economic viability.</t>
  </si>
  <si>
    <t>LREE - Nd</t>
  </si>
  <si>
    <t>Nd₂O₃ = 20.05 percent of total REOs.</t>
  </si>
  <si>
    <t>1 | Anadolske is a fully quantified alkaline syenite hosted REE deposit with total ore tonnage (835,266 t), ΣTREO grade (3.47%), and explicit REE distribution in which Nd₂O₃ constitutes 20.05% of total REOs. This allows neodymium content to be directly derived within a CRIRSCO style tonnage–grade framework, providing clear geological evidence. Data Quality: 1
Justification: The Anadolske deposit already has a fully defined quantitative framework, including total ore tonnage (835,266 t), ΣTREO grade (3.47%), and REE distribution in which Nd₂O₃ accounts for 20.05% of total REOs. This allows Nd content to be derived within a CRIRSCO-style tonnage–grade framework.
Classification Alignment: 1
Justification: Formal national classification categories (C1 reserves and P1 resources) tied to Special Permit No. 6370 are already documented for Anadolske and apply equally to Nd as part of the LREE basket. This provides a valid PERC crosswalk anchor.</t>
  </si>
  <si>
    <t>Mineralogy: Britholite, allanite, zircon
REE pattern: Ce-Nd-La-Pr-Sm
Nd presence: Yes, significant
Deposit type: Subalkaline syenite-hosted Zr-REE
REE grade: Britholite contains 41–58 percent REE+Y
Economic relevance: Large deposit; positive economic evaluation
Reserve category: C1 + C2; resources P1–P3. Nd not given as a separate grade, but bastnaesite, monazite, orthite, britolite all contain Nd.
Large tonnage makes it a major potential Nd source.</t>
  </si>
  <si>
    <t>1 | Azovske is a large alkaline syenite hosted REE deposit with reported ore tonnage (≈30.4 Mt), total REE content (≈361.8 kt), and formal GKZ reserve categories (C1 + C2). Although Nd is not given as a standalone grade, its presence in britolite, monazite, bastnaesite, and orthite is part of the quantified LREE basket at deposit scale, confirming geological evidence. Data Quality: 1
Justification: Azovske has already been documented with a robust quantitative framework, including ore tonnage (≈30.4 Mt), total REE content (≈361.8 kt), and formal reserve categories (C1 + C2). Although Nd is not given as a standalone grade in this row, its presence in britolite, monazite, bastnaesite, and orthite is part of the established REE distribution that is already quantified at deposit scale. This satisfies CRIRSCO style tonnage–grade interpretation at the parent deposit level.
Classification Alignment: 1
Justification: Formal GKZ style categories (C1 + C2, with P1–P3 resources) are explicitly stated for Azovske in the cited literature. This classification anchor applies equally to Nd as part of the LREE basket and can be crosswalked directly to PERC categories.</t>
  </si>
  <si>
    <t>Nd present in britolite, bastnaesite, orthite, monazite.
No explicit grade reported. Deep location reduces economic relevance.</t>
  </si>
  <si>
    <t>1 | Azovske is a large alkaline syenite hosted REE deposit with reported ore tonnage (≈30.4 Mt), total REE content (≈361.8 kt), and formal GKZ reserve categories (C1 + C2). Although Nd is not given as a standalone grade, its presence in britolite, monazite, bastnaesite, and orthite is part of the quantified LREE basket at deposit scale, confirming geological evidence. Data Quality: 0
Justification: The entry only confirms that Nd is present in REE minerals, without reporting any quantitative grade, tonnage, or resource estimate. Mineral-level presence alone cannot be translated into a CRIRSCO or PERC compatible tonnage–grade framework.
Classification Alignment: 0
Justification: No GKZ, UNFC, or other formal reserve or resource classification categories are stated. The status is explicitly uncertain, with deep ore bodies and reduced economic relevance, leaving no classification anchor for PERC crosswalking.</t>
  </si>
  <si>
    <t>Carbonatite REE system. Monazite and bastnaesite always include Nd. No published separate Nd grade, but significant due to tonnage.</t>
  </si>
  <si>
    <t>1 | Novopoltavske is a carbonatite hosted multicommodity deposit with extensive GKZ classified reserve and resource data reported for REE ores (B + C1 and C2). Nd occurs as part of monazite and bastnaesite within these quantified ore bodies, providing geological evidence at the parent deposit level. Data Quality: 1
Justification: Novopoltavske has already been documented with extensive quantitative reserve and resource data under GKZ categories (B + C1 and C2) for REE as a group, supported by official State Geological Survey documentation. Although Nd is not published as a standalone grade, its presence in monazite and bastnaesite is inherent to the quantified REE tonnage. This satisfies a CRIRSCO style tonnage–grade framework at the parent deposit level.
Classification Alignment: 1
Justification: Formal GKZ reserve and resource categories are explicitly stated for Novopoltavske. That classification anchor applies equally to Nd as part of the REE basket and can be crosswalked to PERC categories.</t>
  </si>
  <si>
    <t>Nd hosted in bastnaesite and parisite. Parisite composition shows strong LREE (La, Ce, Nd). High grade fluorocarbonate system, but small tonnage and not economic.</t>
  </si>
  <si>
    <t>0 | Petrovo-Gnutivske contains Nd in bastnaesite and parisite within fluorocarbonate veins, but no deposit scale tonnage, Nd grade, or reserve or resource classification is reported. The occurrence is explicitly small tonnage and uneconomic, so geological evidence is not met. Data Quality: 0
Justification: Nd is only qualitatively documented as being hosted in bastnaesite and parisite within fluorocarbonate veins. No tonnage, grade, cutoff, or reserve category is reported for Nd or total REE at a deposit scale. The description is mineralogical and genetic rather than quantitative, which does not meet PERC or CRIRSCO reporting thresholds.
Classification Alignment: 0
Justification: There are no declared reserves or resources under GKZ, PERC, JORC, or NI 43-101. The occurrence is explicitly described as small tonnage and uneconomic, even when considering associated fluorite and polymetals. This places it outside any reportable mineral resource classification.</t>
  </si>
  <si>
    <t>Technogenic</t>
  </si>
  <si>
    <t>Tailings contain Nd along with Sc and Y, typical values not separately listed. Nd presence confirmed as trace to minor LREE.</t>
  </si>
  <si>
    <t>0 | Vysokopilske tailings contain Nd only as trace to minor LREE associated with Sc and Y, with no quantified grades, tonnage attribution, or recovery data. This is incidental presence and does not constitute geological evidence. Data Quality: 0
Justification: Nd is only reported as trace to minor LREE in bauxite tailings, alongside Sc and Y. There are no quantitative grades, no recovery tests, no tonnage attribution, and no breakdown of Nd within the residue stream. The information is descriptive and indicative only.
Classification Alignment: 0
Justification: Nd is not part of a declared mineral resource or reserve, under GKZ, PERC, CRIRSCO, JORC, or NI 43-101. The Nd occurs incidentally in processing tailings, not in a defined ore body, and has never been evaluated as a recoverable commodity.</t>
  </si>
  <si>
    <t>0 | Pivdenne-nikopolske tailings report Nd only as trace to minor LREE alongside Sc and Y, without quantitative grades or resource definition. The occurrence is technogenic and incidental, not geological evidence. Data Quality: 0
Justification: Nd is reported only as trace to minor LREE in bauxite processing tailings, together with Sc and Y. There are no quantified Nd grades, no mineralogical allocation to specific phases, and no mass-balance or recovery data. The evidence is descriptive only.
Classification Alignment: 0
Justification: Nd is not reported as a mineral resource or reserve under GKZ, PERC, CRIRSCO, JORC, or NI 43-101. Its occurrence is incidental within technogenic residues, not within a defined REE ore system.</t>
  </si>
  <si>
    <t>0 | Smilyanske tailings contain Nd only as trace to minor LREE with no analytical breakdown, tonnage attribution, or resource evaluation. This does not meet geological evidence criteria. Data Quality: 0
Justification: Nd is mentioned only as trace to minor LREE in bauxite tailings, together with Sc and Y. There are no reported Nd grades, no mineralogical host quantification, and no analytical datasets suitable for resource estimation.
Classification Alignment: 0
Justification: Nd is not defined as a mineral resource or reserve under GKZ, PERC, CRIRSCO, JORC, or NI 43-101. Its presence is incidental within processing residues, not within a delineated REE ore body.</t>
  </si>
  <si>
    <t>LREE - Pm</t>
  </si>
  <si>
    <t>N/A</t>
  </si>
  <si>
    <t xml:space="preserve">LREE - Sm </t>
  </si>
  <si>
    <t>LREE - Eu</t>
  </si>
  <si>
    <t>Scandium</t>
  </si>
  <si>
    <t>Iron–uranium–vanadium–scandium complex</t>
  </si>
  <si>
    <t>Ukraine has no dedicated scandium extraction plant; Sc is recoverable only as a by-product in Ti-ore and alumina processing. Operators with Sc permits: UMCC, Demurinskiy MBP, Valky-Ilmenite, Zhytomyrburrozvidka. Historical Sc–Al alloy production (Ashurst JV, 1993–1995) ended. Mykolaiv alumina refinery produces Sc-bearing tailings but no Sc recovery line. Placer ilmenite concentrates can be sent to Ust-Kamenogorsk in Kazakhstan, the only operational post-Soviet Sc extraction route. Russia historically controlled major Sc-processing technologies and regional logistics; current conflict blocks eastern transport corridors and isolates Luhansk ash resources (18.7 kt Sc). Export and processing logistics depend on rail links in Zhytomyr and Dnipropetrovsk oblasts and access to EU or Black Sea routes, which vary with geopolitical conditions.</t>
  </si>
  <si>
    <t>Sc content:
50 to 100 g/t in uranium–REE ores
100 to 200 g/t in vanadium–Sc ores
100 to 150 g/t in mixed ores
Notes:
Considered the most economically significant Sc deposit in Ukraine
Metasomatic aegirine amphibole ores
Host ore reserves ~7.4 million t yielding ~900 t scandium (Western estimate)
Weathering crust contains 100–130 g/t Sc
Reserves exist but details are confidential</t>
  </si>
  <si>
    <t>1 | Evidence: Scandium is clearly documented as part of an iron–uranium–vanadium metasomatic ore system, with reported Sc grade ranges by ore type (g/t) plus an indicative host ore tonnage and contained Sc estimate. This constitutes unambiguous in situ mineralisation rather than a purely speculative occurrence. Data Quality: 1
Justification:
Quantitative scandium grades are reported numerically (g/t ranges across ore types), and an overall host ore tonnage with an estimated contained scandium figure is cited from a Western estimate. While some reserve details are confidential and recovery is discussed mainly as a by product, the presence of numerical grade and tonnage information makes the data translatable in a CRIRSCO style sense. This satisfies the Data Quality threshold.
Classification Alignment: 0
Justification:
No explicit GKZ categories (A, B, C1, C2) or UNFC classes are reported in the provided material. Although the site is referred to as a deposit and described as economically significant, reserve statements are not formally classified, and key reserve details are stated to be confidential. There is no clear, explicit classification anchor that can be crosswalked to PERC. Under the one discipline rule, this must be scored No.</t>
  </si>
  <si>
    <t>Stremygorodske</t>
  </si>
  <si>
    <t>hard-rock ilmenite–apatite titanium</t>
  </si>
  <si>
    <t xml:space="preserve"> 50°55'2.96"N</t>
  </si>
  <si>
    <t xml:space="preserve"> 28°50'39.88"E</t>
  </si>
  <si>
    <t>Mykhailov, V. A., Malyuk, B., Kovalenko, N., Bertrand, G., de Oliveira, D., Wittenberg, A., Wellmer, F.-W., Horwath, Z., Hollis, J., Wall, P., &amp; Quijano Gaudes, L. (2023). Strategic minerals of Ukraine and their investment attractiveness.
State Service of Geology and Mineral Resources of Ukraine. (2023, May). Stremyhorodske deposit licence [PDF]. https://www.geo.gov.ua/wp-content/uploads/2023/05/stremyhorod_license.pdf</t>
  </si>
  <si>
    <t>Intrusive apatite ilmenite deposit in troctolites of the Chepovytskiy Massif (Korosten pluton). Ore body approx. 2.3 by 1.0 km, traced to more than 500 m depth; covered by 32.2 m sand clay overburden and 15 to 40 m weathering crust. Host rocks include anorthosite, gabbro, gabbro anorthosite, gabbro peridotites, peridotites and pyroxenites within a north east trending fault zone. Mineralisation occurs in three zones: complete weathering zone (kaolin and cherts, average 12.4 m), partial weathering zone (weathered gabbro, average 14.1 m), and primary gabroid ores traced to 1378 m. Main minerals: ilmenite and apatite. By products: vanadium, fluorine, scandium (80 g per tonne), kaolin, gruss, weathered gabbro and gabbro anorthosite. Central zone grades: 6.9 to 8.17 percent TiO2, 2.8 to 4.5 percent P2O5, 0.2 percent V, 2.22 percent F in apatite. Peripheral zones: 3.36 to 5.9 percent TiO2, 0.65 to 1.5 percent P2O5. Weathered ores: up to 10.8 percent TiO2, 2.6 percent P2O5. Pilot processing produced ilmenite concentrate 49 to 51 percent TiO2 and apatite concentrate 38.5 to 40.5 percent P2O5. Approved reserves: apatite 31,826.3 kt (B + C1 + C2), vanadium ores 222.9 kt (B + C1), weathered gabbro plus kaolin plus cherts 1,358.7 kt (B + C1 + C2) and 32,354 kt (A + B + C1), gabbro anorthosite 197,736 thousand cubic metres (A + B + C1). Titanium and scandium reserve figures are limited access. Hydrogeology includes three aquifers requiring controlled drainage for open pit mining. Access is favourable with 4 km to nearest rail station (Stremyhorod) and road links to nearby villages and the Korosten node. Deposit discovered in 1954; major exploration in 1955 to 1957 and 1973 to 1981; geological and economic reassessment completed in 2016.</t>
  </si>
  <si>
    <t>Data Quality: 1
Justification: Quantitative scandium grades are reported (50 to 200 g/t across ore types) and an indicative host ore tonnage with contained Sc estimate is given (~7.4 Mt ore, ~900 t Sc). That is enough to support a deposit-scale tonnage and grade narrative, even if full reserve details are not public.
Classification Alignment: 0
Justification: No GKZ, UNFC, or other formal reserve or resource categories are stated, and the entry notes that reserve details are confidential. Without an explicit classification anchor, it cannot be crosswalked to PERC categories.</t>
  </si>
  <si>
    <t>Torchynske</t>
  </si>
  <si>
    <t>titanium-magnetite and ilmenite-apatite</t>
  </si>
  <si>
    <t xml:space="preserve"> 50°30'33.10"N</t>
  </si>
  <si>
    <t xml:space="preserve"> 28°57'35.52"E</t>
  </si>
  <si>
    <t xml:space="preserve">Vasylenko, S., Remezova, E. A., Yaremenko, O. V., &amp; Okholina, T. (2021). Geological genetic model of Torchynske apatite-ilmenite deposit (Korosten Pluton). Collection of Scientific Works of the Institute of Geological Sciences, NAS of Ukraine. https://www.researchgate.net/publication/348541242_GEOLOGICAL_GENETIC_MODEL_OF_TORCHYNSKE_APATITE-ILMENITE_DEPOSIT
Mykhailov, V. A., Malyuk, B., Kovalenko, N., Bertrand, G., de Oliveira, D., Wittenberg, A., Wellmer, F.-W., Horwath, Z., Hollis, J., Wall, P., &amp; Quijano Gaudes, L. (2023). Strategic minerals of Ukraine and their investment attractiveness.
</t>
  </si>
  <si>
    <t>Residual apatite ilmenite deposit hosted in the weathering crust of marginal gabbroids of the Volodarsk Volyn massif (Korosten pluton, NW Ukrainian Shield). Ore body extends about 11.6 km by 9 km and is confined entirely to the weathering crust developed on Proterozoic gabbroids. Productive horizon averages 11.1 m thickness; overburden averages 16.7 m and locally reaches 38.7 m. Ore thickness varies from about 0.5 m in the south and southeast to 37 m in the central sector. Average useful component contents in the productive layer are about 109.79 kg per cubic metre ilmenite and 6.77 kg per cubic metre apatite. Strong lateral ilmenite zonation is present: eastern sector about 30 to 40 kg per tonne (locally 60 kg per tonne) increasing westward to more than 80 kg per tonne and up to 200 kg per tonne. Vertical ilmenite reserves are highest in the northwestern sector, reaching about 1621 to 3843 kg per square metre due to a buried gabbroid ridge. Primary hard rock mineralisation in underlying gabbroids averages about 3 to 4 percent TiO2 and up to about 2.5 percent P2O5. The deposit is residual in origin with enrichment by mechanical removal of non ore minerals and sufozional washing of clays. Economic block modelling identifies the western sector as the highest grade and lowest stripping ratio zone.</t>
  </si>
  <si>
    <t>1 | Evidence: A well described hard rock apatite–ilmenite intrusive deposit with defined geometry, depth extent, host lithologies, and explicit scandium grade reported as an associated component (about 80 g/t). This is unequivocal primary mineralisation with clear geological context. Data Quality: 1
Justification:
Quantitative values are reported throughout. Ore body dimensions, thicknesses, overburden, and grades are given numerically. Useful component contents are expressed in kg per cubic metre and kg per tonne, and primary hard rock grades are reported in percent TiO2 and P2O5. These data are traceable to peer reviewed and institutional geological sources. Even though reporting units differ from modern CRIRSCO conventions, the data are clearly translatable.
Classification Alignment: 0
Justification:
No GKZ categories (A, B, C1, C2), UNFC classes, or state approved reserve statements are explicitly reported in the provided material. The literature focuses on geological modelling, ore zonation, and economic block modelling, but does not present a formal reserve or resource classification anchor. Despite being clearly treated as a deposit, the absence of an explicit classification requires a No score under the one discipline rule.</t>
  </si>
  <si>
    <t xml:space="preserve">Malyshevske </t>
  </si>
  <si>
    <t>Placer</t>
  </si>
  <si>
    <t xml:space="preserve"> 48°29'3.31"N</t>
  </si>
  <si>
    <t xml:space="preserve"> 34° 7'38.97"E</t>
  </si>
  <si>
    <t>Mykhailov, V. A., Malyuk, B., Kovalenko, N., Bertrand, G., de Oliveira, D., Wittenberg, A., Wellmer, F.-W., Horwath, Z., Hollis, J., Wall, P., &amp; Quijano Gaudes, L. (2023). Strategic minerals of Ukraine and their investment attractiveness.
State Service of Geology and Mineral Resources of Ukraine. (2021, January). Malyshevske NW2 licence [PDF]. https://www.geo.gov.ua/wp-content/uploads/2021/01/MALYSHEVSKE_NW2_license.pdf</t>
  </si>
  <si>
    <t>Residual titanium–zirconium placer deposit hosted in coastal–marine quartz fine-grained sands of the Poltava series and locally the Sarmatian tier (Miocene) in the northern depression of the central Ukrainian crystalline shield. The deposit lies in Oleksandrivsky District of Kirovohrad Region and Pyatihatsky District of Dnipropetrovsk Region, covering 3309.8 hectares; the deposit area is subdivided into three licence blocks with total acreage of 3309.8 ha. Ore sands form an industrial horizon of grey to yellow-grey fine-grained quartz sands with high heavy-mineral content; three mineralised horizons occur within the Poltava series. Ore composition includes quartz, clay minerals and heavy minerals: ilmenite, rutile, leucoxene, zircon, kyanite, sillimanite, staurolite, tourmaline, spinel, chromite and monazite. Quartz grains are dominated by the −0.28 +0.1 mm fraction (89.84 percent). Ilmenite is the principal titanium mineral, typically with high leucoxene alteration; average TiO2 contents are 62.23 percent in ilmenite, 83.26 percent in leucoxene and 90–98 percent in rutile. Zircon contains 63.1–63.9 percent ZrO2. Technological tests on sands from the Motronivsko-Annivska sector produced concentrates of ilmenite (62.23 percent TiO2), rutile (94.05 percent TiO2), zircon (64.57 percent ZrO2), kyanite–sillimanite (62.28 percent Al2O3) and staurolite (50.9 percent Al2O3). Hydrogeological conditions are controlled by a Miocene aquifer hosted in fine-grained sands of the Sarmatian and Poltava units, forming the only water-bearing horizon influencing pit dewatering. The North-Western prospective zone contains residual reserves of zircon–rutile–ilmenite sands classified as C2 (UNFC code 332), approved by the State Commission of Ukraine (20.12.2019 No. 5000-DSK); associated approved C2 reserves include 1407.8 thousand tonnes kyanite+sillimanite and 567.9 thousand tonnes staurolite. Reserves are classed as non-commercial under UNFC-2009 due to early-stage technological data and insufficient economic justification. Exploration was performed in 1955–1958; initial approval of residual reserves issued in 1959 (protocol No. 2553). Subsoil use licences allow 20-year exploration and production.</t>
  </si>
  <si>
    <t>1 | Evidence: A natural coastal–marine heavy mineral placer deposit is described with defined host units, multiple mineralised horizons, heavy mineral assemblage, and concentrate grades from test work. This is unequivocal in situ mineralisation (placer ore sands), even if scandium is not a principal commodity here. Data Quality: 1
Justification:
Quantitative information is reported throughout. The description includes numerical grades for TiO2 and ZrO2 in mineral concentrates, technological test results, and explicit reserve tonnages for associated minerals (kyanite, sillimanite, staurolite). Residual reserves are reported numerically and traceable to state licence documentation and approval protocols. Even though some reserves are classified as non commercial, the data are clearly translatable in a CRIRSCO style sense.
Classification Alignment: 1
Justification:
Formal classification anchors are explicitly present. Residual reserves are classified as GKZ C2 and additionally mapped to UNFC (code 332), with approval by the State Commission of Ukraine, including dates and protocol references. The site is clearly treated as a deposit with state approved reserve statements, even if classified as non commercial under UNFC. This satisfies the existence requirement for classification alignment.</t>
  </si>
  <si>
    <t>Irshanske</t>
  </si>
  <si>
    <t xml:space="preserve"> 50°45'27.40"N</t>
  </si>
  <si>
    <t xml:space="preserve"> 28°43'49.37"E</t>
  </si>
  <si>
    <t xml:space="preserve"> Irshanske deposit: alluvial ilmenite placer in Quaternary sands derived from weathered gabbro anorthosite; productive layer 8.2 m, overburden 0.2–17 m; average ilmenite 50.6 kg per tonne. Produces chloride-route ilmenite concentrate with 57 percent or higher TiO2; part of UMCC operations together with Vylnohirske (sulfate-route ilmenite about 63 percent TiO2). Combined UMCC output about 4 Mt titanium minerals and about 96 kt zircon. Scandium not enriched and not economically significant.</t>
  </si>
  <si>
    <t>1 | Evidence: A natural alluvial ilmenite placer deposit is described with quantified layer thicknesses, overburden range, and ilmenite content (kg/t), linked to an operating production context. This constitutes clear in situ placer mineralisation. Data Quality: 1
Justification: Quantitative values are clearly reported. The description includes numerical thicknesses of the productive layer and overburden, average ilmenite content expressed in kg per tonne, and concentrate grades in percent TiO2. Production figures are given at operation level (UMCC). The data are traceable to published sources and are translatable to a CRIRSCO style format, even though they are operational and legacy oriented.
Classification Alignment: 0
Justification: No GKZ categories (A, B, C1, C2), UNFC classes, or state approved reserve statements are explicitly reported for the Irshanske deposit itself in the provided text. The description focuses on production characteristics and association with UMCC operations rather than a formal reserve or resource classification. Under the one discipline rule, the absence of an explicit classification anchor requires a No score.</t>
  </si>
  <si>
    <t>Zlobytske</t>
  </si>
  <si>
    <t xml:space="preserve"> 50°51'34.84"N</t>
  </si>
  <si>
    <t xml:space="preserve"> 28°41'23.03"E</t>
  </si>
  <si>
    <t>Mykhailov, V. A., Malyuk, B., Kovalenko, N., Bertrand, G., de Oliveira, D., Wittenberg, A., Wellmer, F.-W., Horwath, Z., Hollis, J., Wall, P., &amp; Quijano Gaudes, L. (2023). Strategic minerals of Ukraine and their investment attractiveness.
Ganzha, O. A., Kovalchuk, M. S., &amp; Kuzmanenko, H. O. (2025). Zirconium titanium deposits of Ukraine placer province: Genesis, geological characteristics and mineralogy. Journal of Geology, Geography and Geoecology, 34(2), 275–291. https://doi.org/10.15421/112524</t>
  </si>
  <si>
    <t>only as a low-grade by-product in ilmenite.</t>
  </si>
  <si>
    <t>0 | Evidence: The entry only states scandium occurs as a low grade by product in ilmenite, without any site specific geological description, mapped ore body characteristics, or quantified scandium data for this deposit. Geological evidence is not established from the provided information. Data Quality: 0
Justification: No numerical tonnage or grade data are reported for this site. The description is purely qualitative, stating only that material occurs as a low grade by product in ilmenite, without quantities, grades, units, or reserve figures. There is no quantitative information that can be translated into a CRIRSCO style format.
Classification Alignment: 0
Justification: No GKZ categories, UNFC classes, or state approved reserve or resource statements are mentioned. The site is not formally classified and is only described in qualitative terms as a by product occurrence. Under the one discipline rule, this must be scored No.</t>
  </si>
  <si>
    <t>Valky–Gatskivske</t>
  </si>
  <si>
    <t xml:space="preserve"> 50°50'1.97"N</t>
  </si>
  <si>
    <t xml:space="preserve"> 28°39'0.40"E</t>
  </si>
  <si>
    <t>Officially listed by Ukraine’s State Register (SIMR) as a deposit with recorded scandium reserves.
Sc is present as a by-product in ilmenite, similar to Irshanske and Zlobytske.
Expected grade is in the typical placer-ilmenite range of 0.001–0.01 percent Sc (10–100 g/t).
Valky-Ilmenite LLC is licensed for extracting scandium as an associated component of titanium ores (2023).</t>
  </si>
  <si>
    <t>1 | Evidence: This is a natural placer deposit explicitly treated as a deposit with recorded scandium reserves in a state register and linked to titanium ore hosting (ilmenite). Even though detailed grades and tonnages are not provided here, the deposit level occurrence of scandium in the natural ore body is confirmed. Data Quality: 0
Justification: No tonnage figures are reported, and scandium grades are only given as expected or typical ranges for placer ilmenite rather than measured or reported values tied to this deposit. There are no numerical reserve figures, no traceable grade data specific to the site, and no documented tonnage or grade pairs that can be translated into a CRIRSCO style format. Under the rules, this is insufficient for Data Quality.
Classification Alignment: 1
Justification: The deposit is officially listed in Ukraine’s State Register (SIMR) as a deposit with recorded scandium reserves, and a licence exists for extraction of scandium as an associated component of titanium ores. This constitutes a formal state level classification anchor indicating the existence of reserves, even though details are not disclosed. This satisfies the existence criterion for classification alignment.</t>
  </si>
  <si>
    <t>Trostyanetske</t>
  </si>
  <si>
    <t xml:space="preserve"> 50°46'48.03"N</t>
  </si>
  <si>
    <t xml:space="preserve"> 28°56'42.41"E</t>
  </si>
  <si>
    <t>Listed as one of the 13 Ukrainian deposits with registered scandium reserves.
Sc hosted in ilmenite, probably in the same grade range: 0.001–0.01 percent Sc.
Extraction possible where titanium-concentrate processing occurs.
Zhytomyrburrozvidka LLC has a special permit including scandium recovery.</t>
  </si>
  <si>
    <t>1 | Evidence: This is a natural placer deposit listed among deposits with registered scandium reserves and linked to titanium ore hosting (ilmenite). The information supports the existence of scandium bearing mineralisation within a defined deposit footprint. Data Quality: 0
Justification: No numerical tonnage figures are reported, and scandium grades are only expressed as probable or typical ranges rather than measured, deposit specific values. There are no quantified reserve figures, no reported tonnage and grade pairs, and no traceable numerical data that can be translated into a CRIRSCO style reporting format.
Classification Alignment: 1
Justification: The deposit is explicitly listed as one of the Ukrainian deposits with registered scandium reserves, and a special permit exists that includes scandium recovery. This constitutes a formal state level classification anchor indicating the existence of reserves, even though details are undisclosed. This satisfies the existence requirement for classification alignment.</t>
  </si>
  <si>
    <t>Contains notable scandium enrichment compared to titanium placers.
Average scandium content: 44.6 g/t in bauxite.
After processing in alumina plants, tailings may contain 50–100 g/t Sc.
This makes Vysokopilske one of the more significant Ukrainian bauxite-derived scandium sources.</t>
  </si>
  <si>
    <t>1 | Evidence: Scandium enrichment is reported numerically in a natural lateritic bauxite deposit (average Sc grade given) with additional enrichment in processing tailings described as a consequence of the original ore chemistry. This confirms primary geological occurrence of scandium in the bauxite ore. Vysokopilske deposit
Data Quality: 1
Justification: Quantitative scandium grades are reported numerically for the bauxite (average 44.6 g/t Sc) and for processing tailings (50–100 g/t Sc). These values are traceable to published geological and academic sources. Although no tonnage figures are provided, the presence of numerical grade data satisfies the criterion that grade can be interpreted in a CRIRSCO comparable way.
Classification Alignment: 0
Justification: No GKZ categories, UNFC classes, or state approved reserve or resource statements are reported for scandium at this deposit. The description focuses on geochemical enrichment and potential significance rather than a formally classified reserve or resource. Under the one discipline rule, the absence of an explicit classification anchor requires a No score.</t>
  </si>
  <si>
    <t>Ilmenite placer; Sc hosted in ilmenite; 0.001–0.01 percent Sc (10–100 g/t); by-product only; low-grade trace Sc recoverable during Ti-ore processing.</t>
  </si>
  <si>
    <t>0 | Evidence: Scandium is only described as a typical or generic range for placer ilmenite and not tied to a defined ore body description or deposit specific measured data in the provided text. This is insufficient to confirm geological evidence for this specific site. Data Quality: 0
Justification: Scandium content is only given as a typical or generic range for ilmenite placers (0.001–0.01 percent Sc) and not as a measured, deposit specific grade tied to reported tonnage. No tonnage figures, reserve quantities, or traceable numerical resource data are provided that could be translated into a CRIRSCO style format. Under the rules, this does not meet the Data Quality threshold.
Classification Alignment: 0
Justification: No GKZ categories, UNFC classes, or state approved reserve or resource statements are reported. The site is described only as a low grade by product occurrence associated with ilmenite placer mineralisation, without a formal classification anchor. Under the one discipline rule, this must be scored No.</t>
  </si>
  <si>
    <t>Pervomaiske</t>
  </si>
  <si>
    <t>Iron-quartzite deposit</t>
  </si>
  <si>
    <t xml:space="preserve"> 48° 7'27.41"N</t>
  </si>
  <si>
    <t xml:space="preserve"> 33°33'3.75"E</t>
  </si>
  <si>
    <t>Fe quartzites; Sc in aegirine metasomatites; ~83 g/t Sc; by-product in V-Sc-Fe ores.</t>
  </si>
  <si>
    <t>Data Quality: 1
Justification: A numerical scandium grade is reported (~83 g/t Sc) and is traceable to published geological sources. Even though tonnage is not reported and the site is classified as an occurrence, the presence of a quantified grade satisfies the criterion that grade can be interpreted in a CRIRSCO comparable way.
1 | Evidence: Scandium is reported with a numerical grade in aegirine metasomatites associated with iron quartzites and V–Sc–Fe mineralisation. This is clear in situ mineralisation, even though the site is described as an occurrence rather than a deposit. Classification Alignment: 0
Justification: The site is explicitly described as an occurrence, not a deposit, and no GKZ categories, UNFC classes, or state approved reserve or resource statements are reported. The material is described as a by product within V–Sc–Fe mineralisation without any formal classification anchor. Under the one discipline rule, this must be scored No.</t>
  </si>
  <si>
    <t>Gannivske</t>
  </si>
  <si>
    <t xml:space="preserve"> 48°10'45.55"N</t>
  </si>
  <si>
    <t xml:space="preserve"> 31°53'30.28"E</t>
  </si>
  <si>
    <t>Fe quartzites; Sc ~79 g/t; hosted in aegirine zones; associated with V and Fe.</t>
  </si>
  <si>
    <t>1 | Evidence: Scandium is reported with a numerical grade in aegirine hosted zones associated with iron quartzites and vanadium. This confirms in situ mineralisation, even if no deposit scale resource framework is provided. Data Quality: 1
Justification: A numerical scandium grade is reported (~79 g/t Sc) and is traceable to published geological sources. Even though no tonnage or reserve figures are provided and the site is classified as an occurrence, the presence of quantified grade data satisfies the Data Quality criterion.
Classification Alignment: 0
Justification: The site is explicitly described as an occurrence and no GKZ categories, UNFC classes, or state approved reserve or resource statements are reported. The material is inferred from geological context without a formal classification anchor. Under the one discipline rule, this must be scored No.</t>
  </si>
  <si>
    <t>Kerchenske</t>
  </si>
  <si>
    <t>Oolitic iron ores</t>
  </si>
  <si>
    <t xml:space="preserve"> 45°22'55.75"N</t>
  </si>
  <si>
    <t xml:space="preserve"> 36°30'59.31"E</t>
  </si>
  <si>
    <t>Oolitic iron ores; Sc 7–11 g/t; hosted in hydrogoethite–ferrimontmorillonite.</t>
  </si>
  <si>
    <t>1 | Evidence: Scandium is reported with numerical grades in oolitic iron ores and linked to specific iron mineral hosts. This is clear geological occurrence of scandium within a natural ore type, despite low grade and occurrence status. Data Quality: 1
Justification: Quantitative scandium grades are reported numerically (7–11 g/t Sc) and are traceable to published geological sources. Although tonnage is not reported and grades are low, the presence of explicit numerical grade data satisfies the criterion that grade can be interpreted in a CRIRSCO comparable way.
Classification Alignment: 0
Justification: The site is explicitly described as an occurrence, not a deposit, and no GKZ categories, UNFC classes, or state approved reserve or resource statements are reported. The scandium is described only as a trace component in oolitic iron ores without a formal classification anchor. Under the one discipline rule, this must be scored No.</t>
  </si>
  <si>
    <t>Kryvyi Rih</t>
  </si>
  <si>
    <t>Iron ore - martite, goethite, hydrogoethite</t>
  </si>
  <si>
    <t xml:space="preserve"> 47°55'52.02"N</t>
  </si>
  <si>
    <t xml:space="preserve"> 33°22'34.63"E</t>
  </si>
  <si>
    <t>Ferruginous quartzites; Sc 1–3 g/t; trace levels in martite/goethite ores. there simply is no single “exact” point for “the Kryvyi Rih deposit”; it is a cluster of dozens of BIF deposits and pits along that strip.</t>
  </si>
  <si>
    <t>1 | Evidence: Scandium is reported with numerical grades in ferruginous quartzites and iron ore mineral assemblages across the Kryvyi Rih iron province. This confirms geological presence in natural ore, even though it is a regional cluster rather than a single discrete deposit. Data Quality: 1
Justification: Numerical scandium grades are reported (1–3 g/t Sc) and are traceable to published geological sources. Even though grades are very low and the area represents a cluster of deposits rather than a single defined body, the presence of quantified grade data satisfies the Data Quality criterion.
Classification Alignment: 0
Justification: The site is described as an occurrence and as a regional cluster rather than a formally defined deposit. No GKZ categories, UNFC classes, or state approved reserve or resource statements for scandium are reported. Scandium is present only at trace levels without a formal classification anchor. Under the one discipline rule, this must be scored No.</t>
  </si>
  <si>
    <t>Luhansk Coal ash</t>
  </si>
  <si>
    <t>Unconventional</t>
  </si>
  <si>
    <t xml:space="preserve"> 48°34'26.55"N</t>
  </si>
  <si>
    <t xml:space="preserve"> 39°18'28.13"E</t>
  </si>
  <si>
    <t>Luhansk coal ash: 74–90 g per tonne Sc; total Sc ~18.7 thousand tonnes; ash enriched in aluminosilicate microspheres from Donbas Carboniferous coals with REE, Zr group and HFSE; major secondary scandium resource.</t>
  </si>
  <si>
    <t>0 | Evidence: Coal ash is an anthropogenic residue and therefore not an in ground geological deposit. Even with reported Sc grades and an aggregate Sc estimate, this is a secondary unconventional material rather than primary geological mineralisation. Data Quality: 1
Justification: Quantitative scandium grades are reported numerically (74–90 g/t Sc) and an aggregate scandium content estimate is provided (~18.7 thousand tonnes). These values are traceable to published geological sources and are clearly translatable in a CRIRSCO style sense, even though the material is unconventional and secondary.
Classification Alignment: 0
Justification: No GKZ categories, UNFC classes, or state approved reserve or resource statements are reported for the coal ash material. It is described as a secondary or unconventional resource without a formal classification anchor. Under the one discipline rule, this must be scored No.</t>
  </si>
  <si>
    <t>Arsenic</t>
  </si>
  <si>
    <t>Mykytivske</t>
  </si>
  <si>
    <t>Mercury</t>
  </si>
  <si>
    <t xml:space="preserve"> 48°21'17.84"N</t>
  </si>
  <si>
    <t xml:space="preserve"> 38° 4'42.99"E</t>
  </si>
  <si>
    <t>Mykhailov, V. A., Malyuk, B., Kovalenko, N., Bertrand, G., de Oliveira, D., Wittenberg, A., Wellmer, F.-W., Horwath, Z., Hollis, J., Wall, P., &amp; Quijano Gaudes, L. (2023). Strategic minerals of Ukraine and their investment attractiveness.
Khodorovskyi, A. Ya., Apostolov, A. A., Yelistratova, L. A., &amp; Orlenko, T. A. (n.d.). Satellite-based technology assessing Ukraine’s ecology under the war. State Institution “Scientific Centre for Aerospace Research of the Earth of the Institute of Geological Sciences of the National Academy of Sciences of Ukraine”.</t>
  </si>
  <si>
    <t>Ukraine has no primary arsenic mines and no dedicated As-processing industry; arsenic occurs only as an associated component in complex Hg, Au and polymetallic ores (Mykytivske, Konstyantynivske, Klyntsivske, Mykhailivske, Berehivske). Arsenic is recovered only incidentally during processing of sulphide concentrates at non-ferrous plants or remains in tailings; no Ukrainian smelter refines commercial As2O3. Historically, As-bearing concentrates were exported to processing facilities in Russia and Kazakhstan, which host the nearest As trioxide and polymetallic smelting capacity. Current logistics are constrained: eastern transport corridors disrupted by the conflict isolate Hg-ore regions in Donetsk, while Au–polymetallic ores from Zakarpattia and Kirovohrad can only be shipped westward via EU rail links. Ukraine therefore possesses no operational arsenic supply chain, relies on foreign smelters for any potential As recovery, and manages As primarily as a hazardous by-product in ore processing and waste streams.</t>
  </si>
  <si>
    <t>Arsenic occurs in Hg ores as As-bearing sulphides (arsenopyrite, realgar–orpiment traces) and impurities in cinnabar; elevated As noted throughout the deposit; As hosted in sulphide zones associated with Hg mineralisation.</t>
  </si>
  <si>
    <t>1 | Evidence: Arsenic is documented as an associated component within the sulphide assemblage of the Mykytivske mercury ore system (arsenopyrite plus trace realgar or orpiment and As impurities in cinnabar), indicating in situ geological mineralisation linked to Hg bearing sulphide zones. Data Quality: 0
Justification: No numerical arsenic grades, tonnages, or reserve figures are reported. Arsenic occurrence is described qualitatively as elevated and associated with Hg mineralisation, but without quantified values, units, or traceable measurements that could be translated into a CRIRSCO style format. Under the rules, qualitative presence alone is insufficient.
Classification Alignment: 0
Justification: Although Mykytivske is a formally recognised mercury deposit, no reserve or resource classification is reported for arsenic specifically, and no GKZ or UNFC categories are provided for As. Arsenic is described only as an associated or hazardous by-product without a formal classification anchor. Under the one discipline rule, this must be scored No.</t>
  </si>
  <si>
    <t>Konstyantynivske</t>
  </si>
  <si>
    <t xml:space="preserve"> 48°31'22.99"N</t>
  </si>
  <si>
    <t xml:space="preserve"> 37°41'53.18"E</t>
  </si>
  <si>
    <t>Arsenic present in complex Hg ores as arsenopyrite and other As-bearing sulphides; occurs as impurity phases within cinnabar mineralisation; elevated As reported in sulphide-rich ore zones.</t>
  </si>
  <si>
    <t>1 | Evidence: Arsenic is documented as an associated component within complex mercury ores at Konstyantynivske, occurring as arsenopyrite and other As bearing sulphides as impurity phases within cinnabar mineralisation, confirming in situ geological mineralisation in sulphide rich ore zones. Data Quality: 0
Justification: No numerical arsenic grades, tonnage figures, or reserve estimates are reported. Arsenic occurrence is described only qualitatively as an impurity or associated component within mercury mineralisation, without quantified values or traceable measurements that could be translated into a CRIRSCO style format.
Classification Alignment: 0
Justification: While the site is a recognised mercury deposit, no GKZ categories, UNFC classes, or state approved reserve or resource statements are reported for arsenic. Arsenic is treated solely as an associated impurity without a formal classification anchor. Under the one discipline rule, this must be scored No.</t>
  </si>
  <si>
    <t>Klyntsivske</t>
  </si>
  <si>
    <t xml:space="preserve"> 48°24'17.94"N</t>
  </si>
  <si>
    <t xml:space="preserve"> 32°22'51.76"E</t>
  </si>
  <si>
    <t>Mykhailov, V. A., Malyuk, B., Kovalenko, N., Bertrand, G., de Oliveira, D., Wittenberg, A., Wellmer, F.-W., Horwath, Z., Hollis, J., Wall, P., &amp; Quijano Gaudes, L. (2023). Strategic minerals of Ukraine and their investment attractiveness.
Zagnitko, V. M., Monakhov, V. S., &amp; Velikanov, Yu. V. (1999). Mineralogical and isotopic-geochemical factors of formation of the Klyntsivske gold deposit. Mineralogical Journal, 21(4), 45–56. (In Ukrainian).
Mykhailov, V.A., Shevchenko, V.I., Ogar, V.V. et al. 2007. Metallic Minerals of Ukraine. Textbook. Kyiv University Publishing. 463 p. (In Ukrainian).</t>
  </si>
  <si>
    <t>Klyntsivske gold deposit contains arsenic hosted mainly in arsenopyrite and loellingite within vein-disseminated low-sulphide Au–quartz mineralization. Sulphides (up to 5 percent) include pyrite, pyrrhotite, arsenopyrite, loellingite and chalcopyrite. Arsenic is structurally bound in arsenopyrite and loellingite and present as native arsenic. Fine gold is dispersed in arsenopyrite; high-grade Au (up to 200 g per tonne) is associated with a Au–Bi assemblage. Ore types include pyrite-arsenopyrite ores (up to 30 percent sulphides) and low-sulphide ores (2–3 percent). Arsenic enrichment identifies the deposit as one of Ukraine’s complex Au–As occurrences; Ukraine has no primary As deposits and arsenic occurs only as a component of complex ores.</t>
  </si>
  <si>
    <t>1 | Evidence: Arsenic is clearly present as ore mineral phases at Klyntsivske (arsenopyrite, loellingite, and native arsenic) within a defined Au quartz mineralisation system, demonstrating in situ geological mineralisation even though arsenic is not reported as a standalone product. Data Quality: 0
Justification: No numerical arsenic grades, tonnage figures, or reserve estimates are reported. While sulphide contents and gold grades are described quantitatively, arsenic itself is only discussed mineralogically and qualitatively as being hosted in arsenopyrite and loellingite. There are no quantified As values that could be translated into a CRIRSCO style format.
Classification Alignment: 0
Justification: Although Klyntsivske is a formally recognised gold deposit, no GKZ categories, UNFC classes, or state approved reserve or resource statements are reported for arsenic. Arsenic is treated solely as an associated component of complex Au mineralisation without a formal classification anchor. Under the one discipline rule, this must be scored No.</t>
  </si>
  <si>
    <t>Mykhailivskyi</t>
  </si>
  <si>
    <t xml:space="preserve"> 48°19'36.66"N</t>
  </si>
  <si>
    <t xml:space="preserve"> 31°50'55.26"E</t>
  </si>
  <si>
    <t>Arsenic occurs at 2.0–2.6 percent in gold-pyrite ores hosted in beresitised or argillitized pyrite sandstones and siltstones of the Olkhovatska Anticline; gold is fine-grained in massive pyrite (27 g/t Au in pyrite) with As incorporated in pyrite lattice; ore bodies 0.1–8 m thick, traced for hundreds of metres; pyrite concentrates contain ~2.0–2.5 percent As; minor Co (≤0.2 percent) and Te (≤0.15 percent) also present.</t>
  </si>
  <si>
    <t>1 | Evidence: Arsenic is explicitly quantified in the mineralisation at Mykhailivskyi (2.0 to 2.6% As in ores and about 2.0 to 2.5% As in pyrite concentrates) and tied to a described host setting and orebody geometry, confirming clear in situ geological mineralisation. Data Quality: 1
Justification: Numerical arsenic grades are explicitly reported (2.0–2.6 percent As in ores and ~2.0–2.5 percent As in pyrite concentrates), along with quantified gold grades and ore thicknesses. These values are traceable to published geological sources and are clearly translatable into a CRIRSCO style reporting framework, even though the site is an occurrence.
Classification Alignment: 0
Justification: The site is explicitly classified as an occurrence, not a deposit, and no GKZ categories, UNFC classes, or state approved reserve or resource statements are reported for arsenic. Arsenic is described as an associated component of gold-pyrite mineralisation without a formal classification anchor. Under the one discipline rule, this must be scored No.</t>
  </si>
  <si>
    <t>Arsenic at the Berehivske gold-polymetallic deposit is present at low levels in sulphide assemblages dominated by sphalerite, galena, pyrite, chalcopyrite and marcasite; As is mainly incorporated in tetrahedrite–tennantite and minor arsenopyrite; the deposit shows high Cd and low Sb–As signatures; ore types include Au–pyrite–galena–sphalerite, Au–quartz–hematite, Au–adularia–quartz and Au–Ag–barite–hydromica within Neogene rhyolite tuffs cut by NW–NE fracture systems.</t>
  </si>
  <si>
    <t>1 | Evidence: Arsenic is documented as present in the Berehivske sulphide assemblage, mainly hosted in tetrahedrite tennantite and minor arsenopyrite within a defined gold polymetallic system, confirming in situ geological mineralisation even if reported as low level. Data Quality: 0
Justification: Arsenic is described only qualitatively as present at low levels within sulphide assemblages. No numerical arsenic grades, tonnage figures, or reserve estimates are reported, and no quantified As values are provided that could be translated into a CRIRSCO style format.
Classification Alignment: 0
Justification: Although Berehivske is a formally recognised gold-polymetallic deposit, no GKZ categories, UNFC classes, or state approved reserve or resource statements are reported for arsenic. Arsenic is treated solely as a minor associated impurity without a formal classification anchor. Under the one discipline rule, this must be scored No.</t>
  </si>
  <si>
    <t>Baryte</t>
  </si>
  <si>
    <t>Biganske</t>
  </si>
  <si>
    <t>barite–gold–polymetallic</t>
  </si>
  <si>
    <t xml:space="preserve"> 48°14'55.79"N</t>
  </si>
  <si>
    <t xml:space="preserve"> 22°31'6.54"E</t>
  </si>
  <si>
    <t>Ukraine has no active barite industry; main resource is Biganske (2.5 Mt B+C1 + 0.4 Mt C2, total ~4.2 Mt barite ores, 1.2 Mt contained barite; BaSO₄ 19–85%). Barite also occurs at Beregivske (disseminated) and Muzhyivske (quartz–barite veins), plus non-economic occurrences in Ukrainian Shield, Donbas, DDD and Crimea. No domestic barite processing, micronizing or chemical plants; all barite for drilling/industrial use is imported. Domestic demand (≤20 kt/year) too low to justify processing. Export logistics depend on Trans-Carpathian rail via Chop to EU; former routes to Russia/Kazakhstan closed. Global barite market ~9 Mt/y; prices: raw ore 40–85 USD/t, API-grade 100–180 USD/t, micronized 250–400 USD/t. Ukraine’s only feasible role is exporting raw or semi-beneficiated ore for foreign processing.</t>
  </si>
  <si>
    <t>Biganske barite deposit, Trans-Carpathian Depression: Dorobrativska Suite (1200–1500 m) with secondary quartzites, beresites, propylites, kaolinized rocks, rhyodacite tuffs, diabases. Barite occurs in veins and disseminations. Largest vein 7–25 m thick in Travneva Zone (zone 10–100 m), strike 1950 m, dip 500–600 m. Vertical zonation: quartz–barite (BaSO₄ 37–40 percent, kaolinite ≤30 percent, alunite), barite–alunite, barite–polymetallic (BaSO₄ 19–85 percent). Reserves: 2.5 Mt barite ore (B+C1) with 1.0 Mt barite; C2: 0.4 Mt ore with 0.2 Mt barite. Associated minerals: alunite, quartz, kaolinite, hydromica, pyrite, marcasite, sphalerite, galena, chalcopyrite, sulfosalts, chalcocite, covellite, pyrargyrite, proustite, argentite, Au, Ag, Cd. Pb reserves 120,200 t (1.22 percent), Zn 381,100 t (3.83 percent). Development formerly by Shtoerman-Ukraine GMBH²; no barite mined in 2020.</t>
  </si>
  <si>
    <t>1 | Evidence: Biganske is a clearly defined barite deposit with barite occurring as veins and disseminations within the Dorobrativska Suite, including a major quartz–barite vein up to 7–25 m thick and nearly 2 km long, with documented vertical zonation and quantified BaSO₄ grades. This confirms unequivocal in situ geological barite mineralisation. Data Quality: 1
Justification: Numerical tonnage and grade data are explicitly reported for barite ores and contained barite, including GKZ-style reserve breakdowns (B, C1, C2), BaSO₄ grade ranges, vein dimensions, and associated metal reserves. The figures are traceable to state and geological sources and are clearly translatable into a CRIRSCO style reporting framework, regardless of legacy classification or current inactivity.
Classification Alignment: 1
Justification: Formal GKZ reserve categories B, C1 and C2 are explicitly reported for the barite ores, including quantified reserve figures. The site is clearly treated as a deposit with state recognised reserves rather than an occurrence. This provides a clear classification anchor that can be crosswalked to PERC.</t>
  </si>
  <si>
    <t>Beregivske</t>
  </si>
  <si>
    <t>Beregivske gold-polymetallic deposit (Trans-Carpathians) in Neogene tuffogenic sequence; ore horizon of rhyolite tuffs cut by NW and NE fracture systems. Three ore-body types: (1) complex veins in faults, (2) vein-disseminated zones in fractured areas, (3) sheeted bodies in volcanic-sedimentary rocks. Veins 3–5 m thick, 350–450 m long, to 350 m depth. Main minerals: sphalerite, pyrite, galena, marcasite, chalcopyrite; secondary: hematite, tetrahedrite, gold, silver, electrum, wurtzite, melnikovite. Pb avg 2.09 percent, Zn 5.08 percent; high Cd, low Sb and As. Ore types: Au–pyrite–galena–sphalerite, Au–quartz–hematite, Au–adularia–quartz, Au–Ag–barite–hydromica. Barite present in upper horizons as disseminated tabular/columnar grains in tuffs, tuff-lavas, ignimbrites altered to secondary quartzites. Lead reserves/resources: C1 5,410 t, P1+P2 342,800 t, C1+C2 295,000 t, P2 480,000 t. Zinc reserves/resources: C1 14,400 t, P1+P2 832,800 t, C1+C2 621,600 t, P2 960,000 t.</t>
  </si>
  <si>
    <t>1 | Evidence: At Beregivske, barite is a documented gangue and accessory mineral within Au–Ag–barite–hydromica ore types, occurring as disseminated grains in altered volcanic rocks and tuffs in the upper ore horizons. This demonstrates in situ geological barite mineralisation associated with a recognised polymetallic ore system. Data Quality: 1
Justification: Numerical grades and reserve figures are reported for lead and zinc, including quantified C1, C2, P1 and P2 categories, along with vein dimensions and ore thicknesses. These data are traceable to geological sources and are clearly translatable into a CRIRSCO style reporting framework, even though barite is described mainly as a secondary component and not quantified separately.
Classification Alignment: 1
Justification: Formal GKZ-style classification categories (C1, C2, P1, P2) are explicitly reported with numerical reserve and resource figures. The site is clearly treated as a deposit with state-recognised reserves rather than a mere occurrence. This provides a valid classification anchor that can be crosswalked to PERC.</t>
  </si>
  <si>
    <t>Muzhyivske</t>
  </si>
  <si>
    <t xml:space="preserve"> 48°10'57.24"N</t>
  </si>
  <si>
    <t xml:space="preserve"> 22°43'43.93"E</t>
  </si>
  <si>
    <t>Muzhyivske Au–polymetallic deposit (Trans-Carpathians) has a two-level structure: upper stockwork at 60–150 m depth (amoeboid 50×50 m) with finely disseminated Au in secondary quartzite and argillisite after Neogene rhyolite tuffs/breccias; lower level of steep quartz–sulphide veins 1–5 m thick with polymetallic, Ag and Au mineralisation. Ore minerals: sphalerite, galena, pyrite, pyrrhotite, Au, electrum, proustite, polybasite, argentite, native silver; gangue: quartz, adularia, rare chalcedony, kaolinite, hydromica. Gold abundant, fineness 500–900 (mainly 720–760), grade 4.5–15 g/t, Au/Ag ≈ 1:3. Deposit developed by PJSC Carpathian Ore Company; downward decrease in Au grade and changes in mineral assemblages may limit future reserve expansion and extraction efficiency.</t>
  </si>
  <si>
    <t>1 | Evidence: Muzhyivske hosts quartz–sulphide veins and stockwork mineralisation within Neogene volcanic rocks; although barite is not a dominant or quantified component, it is part of the recognised polymetallic vein assemblage in the district, confirming geological occurrence of barite within the mineralised system. Data Quality: 1
Justification: Quantitative gold grades are explicitly reported (4.5–15 g/t Au), along with ore body dimensions, depth ranges, and mineralogical descriptions. These data are traceable to geological sources and are clearly translatable into a CRIRSCO style reporting framework, even though barite is not quantified and the focus is on Au–polymetallic mineralisation.
Classification Alignment: 0
Justification: No GKZ categories (A, B, C1, C2), UNFC classes, or state approved reserve or resource statements are explicitly reported in the provided text. Although the site is a recognised deposit and has been developed historically, the absence of an explicit classification anchor requires a No score under the one discipline rule.</t>
  </si>
  <si>
    <t>HREE - Y</t>
  </si>
  <si>
    <t>Ukraine has no dedicated HREE mines, processing facilities or separation plants, and no operational rare earth industry capable of producing individual heavy oxides (Dy–Lu). All known HREE occurrences belong to small, scientifically characterised pegmatite or metasomatic systems within the Ukrainian Shield (Balka Korabelna, Zhovtorichenske) or REE-enriched alkaline complexes (Azovske). These sites contain xenotime-dominant mineralisation, locally enriched in Dy, Er, Yb, Ho, Tm and Lu, but remain at the level of occurrences or undeveloped deposits with no industrial extraction.
At Balka Korabelna (Kirovohrad region), HREE are hosted almost exclusively in xenotime within metasomatised biotite-feldspar rocks. Xenotime contains up to 7.3 percent Dy, 6.7 percent Er, 8.5 percent Yb, 2.0 percent Ho, 1.6 percent Lu and 0.1 percent Tm, while bulk-rock grades remain low (Dy ~0.12 percent; Er ~0.092 percent; Yb ~0.092 percent). Mineralisation forms fine granular segregations of xenotime and monazite in microclinised biotite-magnetite zones, representing a HREE-dominated but low-tonnage system with no viable stand-alone extraction pathway.
The Azovske REE deposit (Donetsk region) is the only Ukrainian REE occurrence with sizeable prognostic resources (56 Mt to 300 m depth), but the mineralogy is silicate-dominated (britolite, bastnaesite, orthite, zircon), limiting metallurgical recoverability. Total REE oxides average 1.27 percent TR₂O₃, with Y-group lanthanides forming ~20 percent, and Dy appearing at 1.7 percent of total REE in a technological concentrate. The lack of monazite/xenotime dominance makes HREE separation technically difficult under current Ukrainian industrial conditions.
At Zhovtorichenske (Dnipropetrovsk region), supergene weathering crusts above metasomatic Fe–U–V–Sc–REE ores host Yb (up to 0.013 percent) and minor Lu, mainly in metamict zircon (malacon). HREE here occur only as accessory components and could be recovered, if at all, only as by-products of a hypothetical U–V–Sc–Zr processing chain, which currently does not exist.
Ukraine therefore has no domestic HREE extraction, cracking, separation or oxide/metal production capacity. All HREE-bearing minerals remain unprocessed in situ or as part of broader scientific geological investigations. Any potential development would require foreign hydrometallurgical technology, solvent-extraction infrastructure, and export-based concentrate flows. As with other complex REE deposits, the absence of REE refining infrastructure, combined with the complex silicate mineralogy and low ore tonnage of HREE carriers, means Ukraine currently has no functional HREE supply chain, and would depend entirely on external processors for any future recovery of Dy–Lu.</t>
  </si>
  <si>
    <t>Present in LREE minerals, no % reported. Large, but main ore bodies are deeper than 500 m.No active mining; depth makes costs high Geologically promising, but not currently economic. Yastrubetske deposit; SW Perzhansky ore camp; alkaline syenite related; Ore zones crescent shaped, up to 2 km long and 5–120 m thick; Main minerals: zircon, britolite, ilmenite, apatite, bastnaesite, parisite, fluorite; Zircon is Y rich, britolite Y–Ce rich; REE content 0.07–0.3 percent, locally 1.24 percent; Deep zircon enriched horizons at 500–1000 m also contain elevated Y; Y hosted mainly in zircon and britolite within metasomatites; Large deposit but deep (&gt;500 m), Y recovered as by product with Zr and feldspar.</t>
  </si>
  <si>
    <t>1 | Evidence: Yastrubetske shows clear in situ geological evidence for yttrium, hosted mainly in Y rich zircon and Y–Ce rich britolite within alkaline syenite related metasomatites, with documented ore zone geometry, depth continuity and elevated Y in deep zircon bearing horizons. Data Quality: 1
Justification: Quantitative REE data are reported, including total REE contents (0.07–0.3 percent, locally up to 1.24 percent), mineralogical hosts (zircon, britolite), ore zone dimensions, and depth ranges. Although HREE and Y are mostly reported as components within REE minerals rather than as standalone reserve figures, the presence of numerical grade data that can be translated into a CRIRSCO style framework satisfies the Data Quality criterion.
Classification Alignment: 0
Justification: No GKZ categories (A, B, C1, C2), UNFC classes, or state approved reserve or resource statements are explicitly reported for HREE or Y. The deposit is described as geologically promising but undeveloped, with mineralisation treated at the level of occurrence or potential by-product without a formal classification anchor. Under the one discipline rule, this must be scored No.</t>
  </si>
  <si>
    <t>Zhovtorichenske deposit; Dnipropetrovsk region; complex Fe–U–V–Sc–REE metasomatites; Y present in both U–REE and V–Sc ore types; Y content typically 20–500 g/t, with mixed ores 150–250 g/t; Weathering crust up to 40 m thick contains up to 0.13 percent Y; Y hosted mainly in malacon (metamict zircon) and associated metasomatite minerals; Occurs with Sc, V, Zr, REE; Economic recovery possible only as by product within complex ore processing.</t>
  </si>
  <si>
    <t>1 | Evidence: Zhovtorichenske contains documented yttrium mineralisation in complex Fe–U–V–Sc–REE metasomatites, with measured Y contents (tens to hundreds of g/t) hosted in malacon and associated metasomatic minerals, confirming primary geological presence. Data Quality: 1
Justification: Quantitative yttrium data are reported numerically, including typical grades (20–500 g/t Y, commonly 150–250 g/t) and enrichment in the weathering crust (up to 0.13 percent Y). These values are traceable to geological literature and can be translated into a CRIRSCO style reporting format, even though Y is present only as a by product within complex metasomatic ores.
Classification Alignment: 0
Justification: The site is explicitly classified as an occurrence and no GKZ categories, UNFC classes, or state approved reserve or resource statements are reported for yttrium. Mineralisation is treated as accessory and by product only, without a formal classification anchor. Under the one discipline rule, this must be scored No.</t>
  </si>
  <si>
    <t>Tsentralniy</t>
  </si>
  <si>
    <t>Greisen-associated REE–fluorite</t>
  </si>
  <si>
    <t xml:space="preserve"> 51°24'5.49"N</t>
  </si>
  <si>
    <t xml:space="preserve"> 27°54'9.30"E</t>
  </si>
  <si>
    <t>Mykhailov, V. A., Malyuk, B., Kovalenko, N., Bertrand, G., de Oliveira, D., Wittenberg, A., Wellmer, F.-W., Horwath, Z., Hollis, J., Wall, P., &amp; Quijano Gaudes, L. (2023). Strategic minerals of Ukraine and their investment attractiveness.
KRYVDIK, S.G., &amp; DUBYNA, O.V. (2012). ORE-BEARING ABILITY IN RARE METALS OF PROTEROZOIC MAGMATIC COMPLEXES IN THE UKRAINIAN SHIELD. Geologìčnij Žurnal (Geological Journal). http://geojournal.igs-nas.org.ua/article/view/139205
 "Mykhailov, V. A., Malyuk, B., Kovalenko, N., Bertrand, G., de Oliveira, D., Wittenberg, A., Wellmer, F.-W., Horwath, Z., Hollis, J., Wall, P., &amp; Quijano Gaudes, L. (2023). Strategic minerals of Ukraine and their investment attractiveness.
KRYVDIK, S.G., &amp; DUBYNA, O.V. (2012). ORE-BEARING ABILITY IN RARE METALS OF PROTEROZOIC MAGMATIC COMPLEXES IN THE UKRAINIAN SHIELD. Geologìčnij Žurnal (Geological Journal). http://geojournal.igs-nas.org.ua/article/view/139205"</t>
  </si>
  <si>
    <t>Tsentralniy occurrence; Sushchano-Perzhanska zone; Yastrubetskiy Massif contacts; Ore zone ~1 km², strike ~3 km SW, width up to 0.5 km; Host rocks: biotite-feldspar metasomatites, feldspar metasomatites, microclinites; Mineralisation strongest in quartz-biotite-muscovite greisens and microclinised syenites; Fluorite linked to greisenised Perzhanski granites with quartz-sericite replacement and later fluoritisation; Ore bodies sheet/lens shaped, thickness cm to 25 m, horizontal continuity up to 850 m, down-dip 70–110 m; Structurally controlled by faults; Main minerals: fluorite, zircon, cyrtolite, bastnaesite, parisite, monazite, xenotime; Fluorite grade 1–53.8 percent, common 25–32 percent, average 28 percent; Fluorite occurs in bunches and veinlets, low inclusions; Feldspar: microcline 17–40 percent, albite 11–25 percent; REE mostly yttrium-group; Y in fluorite (solid solution Ca-Y), 0.55 percent; Zr 3.23 percent; P2 resources: 4 Mt total ore including 1.1 Mt yttrium-fluorite, 3.5 kt REE, 1.8 Mt feldspar concentrates; High economic potential due to premium pricing of Y- and LREE-bearing fluorite concentrates.</t>
  </si>
  <si>
    <t>1 | Evidence: Tsentralniy displays clear yttrium bearing mineralisation within greisen and metasomatic systems, with Y present in fluorite, zircon, xenotime and related minerals and quantified Y contents reported in ore and concentrates. Data Quality: 1
Justification: Quantitative data are reported, including fluorite grades (1–53.8 percent, average ~28 percent), yttrium content in fluorite (about 0.55 percent), ore zone dimensions, thicknesses, and reported P2 resource figures (about 4 Mt total ore, including 1.1 Mt yttrium-fluorite). These values are traceable to geological literature and are translatable into a CRIRSCO style format, even though they represent legacy and prognostic data.
Classification Alignment: 0
Justification: The site is explicitly described as an occurrence, and the reported resources are given as P2 prognostic resources rather than GKZ reserve categories (A, B, C1, C2) or UNFC classes. There is no state approved reserve or resource classification that can be crosswalked to PERC. Under the one discipline rule, this must be scored No.</t>
  </si>
  <si>
    <t>Khashchuvatske</t>
  </si>
  <si>
    <t>Supergene iron–kaolinite–hydromica</t>
  </si>
  <si>
    <t xml:space="preserve"> 48°19'3.74"N</t>
  </si>
  <si>
    <t xml:space="preserve"> 30° 0'2.69"E</t>
  </si>
  <si>
    <t>Khashchuvatske deposit; supergene weathering crust on rare earth granites and metasomatites; weathering profile 20–100 m thick, locally up to 100 m in pockets; REE occur mainly as adsorbed phases on iron and clay minerals; extremely Y rich: Y₂O₃ makes up about 85 percent of total REE; Y hosted in churchite and rhabdophane forming small bunches and layers; also contains rutile, zircon, spinel, barite, apatite; iron kaolinite hydromica ores with high Fe₂O₃ (20.12 percent) and MnO (1.59 percent); Y recoverable through gravity separation; one of Ukraine’s most Y dominated occurrences.</t>
  </si>
  <si>
    <t>1 | Evidence: Khashchuvatske exhibits strong geological evidence for yttrium enrichment in a supergene weathering crust, with Y dominant REE mineralogy hosted in churchite and rhabdophane derived from primary REE bearing granites and metasomatites. Data Quality: 0
Justification: Although the description highlights very strong yttrium dominance (Y₂O₃ ~85 percent of total REE) and reports numerical values for Fe₂O₃ and MnO, no numerical grades or tonnage figures are reported for yttrium or total REE themselves. The information is descriptive and mineralogical, without quantified Y or REE concentrations or reserve figures that could be translated into a CRIRSCO style reporting format. Under the rules, this does not meet the Data Quality threshold.
Classification Alignment: 0
Justification: No GKZ categories, UNFC classes, or state approved reserve or resource statements are reported. Despite being termed a deposit and described as one of the most Y dominated Ukrainian sites, it lacks a formal classification anchor. Under the one discipline rule, this must be scored No.</t>
  </si>
  <si>
    <t>Azovske deposit; Azov region; alkaline syenite hosted; main ore minerals: britolite (dominant), bastnaesite, orthite, zircon, monazite, chevkinite, fluorite; TR₂O₃ avg 1.27%, ZrO₂ avg 1.5%; Y accounts for 6–10% of total REE in britolite; bastnaesite contains Y₂O₃ = 4.14%, Y = 0.5% of total REE; major ore body 1640 m long, 32 m thick; prognostic resources to 300 m depth = 56 Mt ore containing 710 kt TR₂O₃, of which ~20% are Y group lanthanides; Y hosted mainly in britolite, bastnaesite, zircon and associated metasomatite minerals; industrial value enhanced by Y rich REE but extraction limited by silicate mineralogy.</t>
  </si>
  <si>
    <t>1 | Evidence: Azovske contains well documented yttrium as part of the REE suite within britolite, bastnaesite, zircon and monazite in alkaline syenite hosted ore bodies, with quantified proportions of Y within total REE and large continuous ore zones. Data Quality: 1
Justification: Quantitative data are clearly reported, including average total REE grades (TR₂O₃ ~1.27 percent), ZrO₂ content, proportions of Y within total REE, ore body dimensions, and prognostic resource figures (56 Mt to 300 m depth with ~710 kt TR₂O₃). These values are traceable to published geological sources and are translatable into a CRIRSCO style reporting framework, even though they are largely prognostic and legacy in nature.
Classification Alignment: 0
Justification: The reported figures are explicitly described as prognostic resources rather than GKZ reserve categories (A, B, C1, C2) or UNFC classes. No state approved reserve or resource classification suitable for crosswalking to PERC is reported. Under the one discipline rule, this must be scored No.</t>
  </si>
  <si>
    <t>Anadolske deposit; Azov region; vein–stockwork fluorite–apatite–orthite ore zone 0.7–3.0 m thick and 1000 m long, dipping 30–45°; TR₂O₃ = 0.1–16.7% (avg 9.23%); Y occurs mainly within orthite, cerite and bastnaesite; orthite contains 23.7% TR₂O₃ with a heavy-REE component including Y; cerite contains 70.1% TR₂O₃ with measurable Y; bastnaesite (60% TR₂O₃) carries minor Y; apatite (2.9% TR₂O₃) and fluorite (0.8–1.12% TR₂O₃) are cerium-dominant and low in Y; overall Y proportion not explicitly stated but present within the HREE fraction of the TR₂O₃ suite; significant reserves, with successful industrial test work at Prydniprovskiy Chemical Plant.</t>
  </si>
  <si>
    <t>1 | Evidence: Anadolske hosts yttrium as a constituent of the heavy REE fraction within orthite, cerite and bastnaesite in a vein stockwork system, with industrial scale test work confirming geological continuity of Y bearing mineralisation. Data Quality: 1
Justification: Quantitative data are explicitly reported, including TR₂O₃ grades (0.1–16.7 percent, average ~9.23 percent), mineral specific REE contents, ore body dimensions, and references to significant reserves supported by industrial test work. These data are traceable to state and operator sources and are translatable into a CRIRSCO style reporting framework, even though yttrium is reported as a component within the REE suite rather than as a standalone figure.
Classification Alignment: 1
Justification: The deposit is covered by a state issued special permit that explicitly references reserves and economic indicators, indicating the existence of a state recognised reserve statement. Even though GKZ category letters are not listed in the summary text, the presence of an official reserve based permit provides a clear classification anchor that can reasonably be crosswalked to PERC under the agreed rules.</t>
  </si>
  <si>
    <t>Petrovo-Gnutivske occurrence; NE of Mariupol, Kalmius River valley; steep fluorite–rare earth–carbonate vein up to 3 m thick, traceable 1 km and &gt;150 m deep; hosted in fenitized granosyenites of Kalmiuskiy Massif; rare earth fluorocarbonates reach 15–20% with TR₂O₃ = 62.6% in bastnaesite and 52.3% in parisite; fluorite in hanging wall contains Y + HREE = 87.6–98.3% of total REE; phenites in footwall contain up to 11% orthite (HREE–Y bearing); titanite veinlets contain 1.28% TR₂O₃; Y concentrated mainly in fluorite (HREE rich), orthite and parisite; overall Y component high but deposit is Ce dominated; industrial significance moderate, part of high-attractiveness REE targets.</t>
  </si>
  <si>
    <t>Data Quality: 1
Justification: Quantitative mineralogical and grade data are reported, including TR₂O₃ contents in bastnaesite (62.6 percent), parisite (52.3 percent), titanite (1.28 percent), proportions of Y + HREE in fluorite (87.6–98.3 percent of total REE), and ore body dimensions. These values are traceable to geological sources and are translatable into a CRIRSCO style reporting framework, even though yttrium is reported mainly as part of the REE suite rather than as a standalone reserve figure.
1 | Evidence: Petrovo-Gnutivske shows clear geological yttrium occurrence within fluorite–carbonate–REE veins and fenitised syenites, with Y concentrated in fluorite and orthite and documented mineralogical and structural controls. Classification Alignment: 0
Justification: Despite being termed a deposit in parts of the literature, no GKZ categories, UNFC classes, or state approved reserve or resource statements are reported. The site is effectively treated as a high interest occurrence or target without a formal classification anchor that can be crosswalked to PERC. Under the one discipline rule, this must be scored No.</t>
  </si>
  <si>
    <t>Novopoltavske deposit; Azov area, carbonatites of Chernigivskiy Complex; phosphorus–rare earth–rare metal carbonatite system; REE in ores = 0.17–4.6%; main REE mineral = monazite (up to 65% REE, low Th 0.1–0.3%); apatite contains 1.0–1.5% REE (max 8–11%); minor REE in apatite: Y = 150–600 g/t, Sm 250–400 g/t, Eu 40–150 g/t, Tb 40–100 g/t, Yb 10–20 g/t, Lu 0.3–0.7 g/t; Y occurs mainly in monazite, apatite, pyrochlore–columbite, getchellite and zircon; weathering crust (up to 50–370 m thick) enriches REE several fold; prognostic resources: up to 1 Mt monazite (≈500 kt REE) and 200 Mt apatite (≈2 Mt REE); carbonatite ores considered significant but Y is a minor heavy REE component.</t>
  </si>
  <si>
    <t>1 | Evidence: Novopoltavske contains yttrium as a documented minor but measurable component of a carbonatite REE system, hosted mainly in monazite, apatite and accessory zircon, with quantified Y concentrations reported in ores and weathering crust. Data Quality: 1
Justification: Quantitative REE and yttrium data are explicitly reported, including REE grade ranges in ores (0.17–4.6 percent), yttrium concentrations in apatite (150–600 g/t), other HREE contents, thickness of the weathering crust, and large prognostic resource figures for monazite and apatite with estimated contained REE. These data are traceable to state geological surveys and published literature and are translatable into a CRIRSCO style reporting framework, even though yttrium is a minor component and much of the material is prognostic.
Classification Alignment: 0
Justification: The reported figures are explicitly described as prognostic resources rather than GKZ reserve categories (A, B, C1, C2) or UNFC classes. No state approved reserve or resource classification suitable for crosswalking to PERC is reported. Under the one discipline rule, this must be scored No.</t>
  </si>
  <si>
    <t>Lozuvatske occurrence; Kirovohrad UOA; hosted in potassium and sodium metasomatites with U–Th–Zr–REE–Y mineralisation; main minerals: malacon (metamict zircon), monazite, orthite, xenotime, apatite; REE assemblage includes Y-rich HREE; Y content in associated U–REE ores typically 0.02–0.1% (200–1000 g/t); metasomatites enriched in albite and Na–P phases; Y hosted mainly in xenotime, malacon and orthite; occurs together with Th, Zr and U; considered part of the high-attractiveness metasomatic REE systems of the Kirovohrad region.</t>
  </si>
  <si>
    <t>1 | Evidence: Lozuvatske demonstrates geological yttrium mineralisation in metasomatic pegmatite related systems, with Y hosted in xenotime, malacon and orthite and reported bulk ore Y contents confirming primary geological presence. Data Quality: 1
Justification: Quantitative yttrium data are reported, with Y contents given numerically in associated U–REE ores (0.02–0.1 percent, equivalent to 200–1000 g/t). These values are traceable to published geological literature and are translatable into a CRIRSCO style reporting framework, even though tonnage and reserve figures are not provided and the site is described largely at occurrence level.
Classification Alignment: 0
Justification: No GKZ categories, UNFC classes, or state approved reserve or resource statements are reported. Despite being described as a deposit in the table, the literature treats it effectively as a metasomatic occurrence without a formal classification anchor. Under the one discipline rule, this must be scored No.</t>
  </si>
  <si>
    <t>HREE - Gd</t>
  </si>
  <si>
    <t xml:space="preserve">Balka Korabelna </t>
  </si>
  <si>
    <t xml:space="preserve"> 48°37'59.36"N</t>
  </si>
  <si>
    <t xml:space="preserve"> 32°39'0.48"E</t>
  </si>
  <si>
    <t xml:space="preserve">Mykhailov, V. A., Malyuk, B., Kovalenko, N., Bertrand, G., de Oliveira, D., Wittenberg, A., Wellmer, F.-W., Horwath, Z., Hollis, J., Wall, P., &amp; Quijano Gaudes, L. (2023). Strategic minerals of Ukraine and their investment attractiveness.
Stepanyuk, L. M., Syomka, V. O., Karly, Z. V., Bondarenko, S. M., Dovbush, T. Y., &amp; Kurylo, S. Y. (2015). Balka Korabelnaya deposit in the Bug uranium ore region of the Ukrainian Shield: Mineralogy and geochronology. Geochemistry and Ore Formation, 35, 3-10. (In Ukranian). </t>
  </si>
  <si>
    <t xml:space="preserve"> Balka Korabelna; Kirovohrad Oblast; steep NE-trending lenticular REE-xenotime–monazite zone in granitised gneisses/migmatites; ore zone 70×40 m, traced to 50 m depth; average ore Gd = 0.065 percent; xenotime Gd = 2.7 percent; xenotime REE profile: Y 30 percent, Dy 7.3 percent, Er 6.7 percent, Yb 8.5 percent, Gd 2.7 percent, Sm 2.0 percent, Ho 0.9 percent, Tb 0.6 percent, Tm 0.2 percent, Lu 0.046 percent; Gd hosted mainly in xenotime, minor in monazite/apatite; deposit shows strong HREE–Y specialization.</t>
  </si>
  <si>
    <t>1 | Quantitative gadolinium mineralisation is clearly demonstrated, with reported bulk ore grades (0.065 percent Gd), mineral specific grades in xenotime (2.7 percent Gd), defined ore zone geometry, and documented host minerals, constituting demonstrable in situ mineralisation rather than speculation. Data Quality: 1
Justification: Quantitative gadolinium data are explicitly reported, including average ore grades (0.065 percent Gd) and mineral specific grades in xenotime (2.7 percent Gd), along with ore zone dimensions and depth. These values are traceable to published geological sources and are translatable into a CRIRSCO style reporting framework, even though the site is small and classified as an occurrence.
Classification Alignment: 0
Justification: The site is explicitly described as an occurrence and no GKZ categories, UNFC classes, or state approved reserve or resource statements are reported. Despite strong HREE specialization, there is no formal classification anchor that can be crosswalked to PERC. Under the one discipline rule, this must be scored No.</t>
  </si>
  <si>
    <t>Gd₂O₃ = 1 percent
Also reports combined Gd + Eu = 4.46 percent of REE.</t>
  </si>
  <si>
    <t>1 | Quantitative gadolinium content is reported (Gd₂O₃ = 1 percent and Gd + Eu = 4.46 percent of total REE), confirming real mineralisation even though tonnage and reserves are not defined. Data Quality: 1
Justification: Quantitative gadolinium data are explicitly reported, including Gd₂O₃ = 1 percent and combined Gd + Eu making up 4.46 percent of total REE. These are numerical grade values that can be translated into a CRIRSCO style reporting framework, even though tonnage and reserve figures are not provided.
Classification Alignment: 0
Justification: No GKZ categories, UNFC classes, or state approved reserve or resource statements are reported for gadolinium at this site. Despite being termed a deposit, the information provided lacks a formal classification anchor. Under the one discipline rule, this must be scored No.</t>
  </si>
  <si>
    <t>HREE - Tb</t>
  </si>
  <si>
    <t>Terbium occurs as a minor REE hosted primarily in apatite and monazite within calcite and calcite-dolomite carbonatites of the Chernigivskiy Complex. Tb content in apatite ranges from about 40 to 100 g/t. Mineralisation is associated with steeply dipping carbonatite bodies and their weathering crusts, where REE enrichment increases. Tb is part of a broader light-heavy REE assemblage characteristic of carbonatite-related systems.</t>
  </si>
  <si>
    <t>1 | Quantitative terbium contents are reported (40 to 100 g/t Tb in apatite) within a well described carbonatite system, demonstrating real in situ mineralisation despite Tb being a minor component. Data Quality: 1
Justification: Quantitative terbium grades are explicitly reported, with Tb contents in apatite ranging from about 40 to 100 g/t. These values are traceable to geological sources and can be translated into a CRIRSCO style reporting framework, even though Tb is a minor component within a broader REE assemblage and no standalone Tb tonnage is provided.
Classification Alignment: 0
Justification: No GKZ categories, UNFC classes, or state approved reserve or resource statements are reported specifically for terbium. The deposit level information refers to prognostic or general REE resource context rather than a classified Tb resource. Under the one discipline rule, this must be scored No.</t>
  </si>
  <si>
    <t>Terbium is present in bastnaesite and associated REE minerals within ferrohastingsite-bearing and hedenbergite-bearing syenites. Bastnaesite contains Tb at about 0.3 percent of total REE. The ore bodies form crescent-shaped lodes several metres thick, dominated by britolite, zircon, orthite and bastnaesite. The Tb content reflects the mixed light-heavy REE signature of the syenite metasomatic system.</t>
  </si>
  <si>
    <t>0 | Terbium is reported only as a proportion of total REE in bastnaesite without bulk ore grades or quantified concentrations, which is insufficient to demonstrate standalone mineralisation. Data Quality: 0
Justification: Terbium is reported only as a proportion of total REE in bastnaesite (about 0.3 percent of REE), without a quantified Tb grade in the ore (g/t or percent) and without tonnage figures. This does not allow Tb content to be translated into a CRIRSCO style reporting format. Under the rules, mineral proportional data without absolute grades are insufficient.
Classification Alignment: 0
Justification: The site is explicitly described as an occurrence and no GKZ categories, UNFC classes, or state approved reserve or resource statements are reported. There is no formal classification anchor for terbium that could be crosswalked to PERC. Under the one discipline rule, this must be scored No.</t>
  </si>
  <si>
    <t>Terbium is hosted in xenotime and monazite formed in cataclased biotite-quartz-feldspar rocks affected by potassium metasomatism. Xenotime contains Tb at about 0.6 percent. Rare earth phosphates occur as fine segregations and granular aggregates within microclinised biotite and magnetite-rich zones. Tb reflects the heavy-REE enriched nature of xenotime-dominant mineralisation in this setting.</t>
  </si>
  <si>
    <t>0 | Terbium is reported only as a mineral specific percentage in xenotime without bulk ore grades or tonnage, which does not constitute demonstrable geological mineralisation at the deposit scale. Data Quality: 0
Justification: Terbium is reported only as a mineral specific proportion (Tb ≈ 0.6 percent in xenotime) without an ore grade, bulk rock concentration, or tonnage figure. Mineral chemistry alone does not allow translation into a CRIRSCO style tonnage grade framework. Under the rules, this is insufficient for Data Quality.
Classification Alignment: 0
Justification: No GKZ categories, UNFC classes, or state approved reserve or resource statements are reported for terbium. Despite the site being termed a deposit, Tb mineralisation is described only at mineralogical occurrence level without a formal classification anchor. Under the one discipline rule, this must be scored No.</t>
  </si>
  <si>
    <t>HREE - Dy</t>
  </si>
  <si>
    <t>Dysprosium is strongly enriched in xenotime within the metasomatised biotite-feldspar rocks. Xenotime contains about 7.3 percent Dy, reflecting its characteristic heavy REE affinity. In the bulk ore, Dy reaches about 0.12 percent. The mineralisation forms granular aggregates and fine segregations of xenotime and monazite concentrated in microclinised biotite and magnetite-rich zones. The overall signature indicates a heavy REE dominated system with Dy as one of the principal enriched elements.</t>
  </si>
  <si>
    <t>1 | Quantitative dysprosium mineralisation is demonstrated with reported bulk ore grades (about 0.12 percent Dy) and strong mineral specific enrichment (about 7.3 percent Dy in xenotime). Data Quality: 1
Justification: Quantitative dysprosium data are explicitly reported, including bulk ore Dy content of about 0.12 percent and mineral specific enrichment in xenotime (about 7.3 percent Dy). These are numerical grade values that can be translated into a CRIRSCO style reporting framework, even though tonnage figures are not provided and the site is classified as an occurrence.
Classification Alignment: 0
Justification: The site is explicitly described as an occurrence and no GKZ categories, UNFC classes, or state approved reserve or resource statements are reported. Despite strong HREE enrichment, there is no formal classification anchor that can be crosswalked to PERC. Under the one discipline rule, this must be scored No.</t>
  </si>
  <si>
    <t>Azovske deposit; Azov region; alkaline syenite hosted; main ore minerals: britolite (dominant), bastnaesite, orthite, zircon, monazite, chevkinite, fluorite; TR₂O₃ avg 1.27%, ZrO₂ avg 1.5%; Y accounts for 6–10% of total REE in britolite; bastnaesite contains Y₂O₃ = 4.14%, Y = 0.5% of total REE; major ore body 1640 m long, 32 m thick; prognostic resources to 300 m depth = 56 Mt ore containing 710 kt TR₂O₃, of which ~20% are Y group lanthanides; Y hosted mainly in britolite, bastnaesite, zircon and associated metasomatite minerals; industrial value enhanced by Y rich REE but extraction limited by silicate mineralogy. Dy is listed in the technological sample of the ore, forming 1.7 percent of total REE in the analysed concentrate.</t>
  </si>
  <si>
    <t>1 | Dysprosium is quantitatively documented as 1.7 percent of total REE in technological concentrates, supported by extensive geological and mineralogical data confirming real mineralisation. Data Quality: 1
Justification: Quantitative dysprosium information is reported, with Dy forming about 1.7 percent of total REE in a technological concentrate, alongside numerical TR₂O₃ grades, ore body dimensions, and prognostic resource figures. These data are traceable to published geological sources and are translatable into a CRIRSCO style reporting framework, even though Dy is reported as a proportion of REE rather than as a standalone tonnage.
Classification Alignment: 0
Justification: The reported figures are explicitly described as prognostic resources rather than GKZ reserve categories (A, B, C1, C2) or UNFC classes. No state approved reserve or resource classification suitable for crosswalking to PERC is reported for dysprosium. Under the one discipline rule, this must be scored No.</t>
  </si>
  <si>
    <t>HREE - Ho</t>
  </si>
  <si>
    <t xml:space="preserve">Ho is present only in the xenotime fraction, with a grade of 2.0 percent. Dysprosium is strongly enriched in xenotime within the metasomatised biotite-feldspar rocks. Xenotime contains about 7.3 percent Dy, reflecting its characteristic heavy REE affinity. In the bulk ore, Dy reaches about 0.12 percent. The mineralisation forms granular aggregates and fine segregations of xenotime and monazite concentrated in microclinised biotite and magnetite-rich zones. The overall signature indicates a heavy REE dominated system with Dy as one of the principal enriched elements. </t>
  </si>
  <si>
    <t>0 | Holmium is reported only as a mineral scale concentration in xenotime without bulk ore grades or tonnage, which is insufficient to demonstrate geological mineralisation. Data Quality: 0
Justification: Holmium is reported only as a mineral specific concentration in xenotime (about 2.0 percent Ho), without a bulk ore grade, tonnage figure, or contained metal estimate. Mineral chemistry alone does not allow translation into a CRIRSCO style tonnage grade framework. Under the rules, this is insufficient for Data Quality.
Classification Alignment: 0
Justification: The site is explicitly described as an occurrence and no GKZ categories, UNFC classes, or state approved reserve or resource statements are reported for holmium. There is no formal classification anchor that can be crosswalked to PERC. Under the one discipline rule, this must be scored No.</t>
  </si>
  <si>
    <t>HREE - Er</t>
  </si>
  <si>
    <t xml:space="preserve">Er is strongly enriched in xenotime, with a grade of 6.7 percent.
Er in the bulk ore appears at 0.092 percent. Ho is present only in the xenotime fraction, with a grade of 2.0 percent. Dysprosium is strongly enriched in xenotime within the metasomatised biotite-feldspar rocks. Xenotime contains about 7.3 percent Dy, reflecting its characteristic heavy REE affinity. In the bulk ore, Dy reaches about 0.12 percent. The mineralisation forms granular aggregates and fine segregations of xenotime and monazite concentrated in microclinised biotite and magnetite-rich zones. The overall signature indicates a heavy REE dominated system with Dy as one of the principal enriched elements. </t>
  </si>
  <si>
    <t xml:space="preserve"> 1 | Quantitative erbium mineralisation is demonstrated by reported bulk ore grades (about 0.092 percent Er) and strong enrichment in xenotime (about 6.7 percent Er).Data Quality: 1
Justification: Quantitative erbium data are explicitly reported, including bulk ore Er content (about 0.092 percent) and strong mineral specific enrichment in xenotime (about 6.7 percent Er). These are numerical grade values that can be translated into a CRIRSCO style reporting framework, even though tonnage figures are not provided and the site is classified as an occurrence.
Classification Alignment: 0
Justification: The site is explicitly described as an occurrence and no GKZ categories, UNFC classes, or state approved reserve or resource statements are reported for erbium. There is no formal classification anchor that can be crosswalked to PERC. Under the one discipline rule, this must be scored No.</t>
  </si>
  <si>
    <t>HREE - Tm</t>
  </si>
  <si>
    <t xml:space="preserve">Thulium is present only in the xenotime fraction, with a grade of 0.1 percent. Er is strongly enriched in xenotime, with a grade of 6.7 percent.
Er in the bulk ore appears at 0.092 percent. Ho is present only in the xenotime fraction, with a grade of 2.0 percent. Dysprosium is strongly enriched in xenotime within the metasomatised biotite-feldspar rocks. Xenotime contains about 7.3 percent Dy, reflecting its characteristic heavy REE affinity. In the bulk ore, Dy reaches about 0.12 percent. The mineralisation forms granular aggregates and fine segregations of xenotime and monazite concentrated in microclinised biotite and magnetite-rich zones. The overall signature indicates a heavy REE dominated system with Dy as one of the principal enriched elements. </t>
  </si>
  <si>
    <t>0 | Thulium is reported only as a trace mineral specific concentration in xenotime without bulk ore grades or tonnage, which does not meet the threshold for geological evidence. Data Quality: 0
Justification: Thulium is reported only as a mineral specific concentration in xenotime (about 0.1 percent Tm), without a bulk ore grade, tonnage figure, or contained metal estimate. Mineral chemistry alone does not allow translation into a CRIRSCO style tonnage grade framework. Under the rules, this is insufficient for Data Quality.
Classification Alignment: 0
Justification: The site is explicitly described as an occurrence and no GKZ categories, UNFC classes, or state approved reserve or resource statements are reported for thulium. There is no formal classification anchor that can be crosswalked to PERC. Under the one discipline rule, this must be scored No.</t>
  </si>
  <si>
    <t>HREE - Yb</t>
  </si>
  <si>
    <t>Yb is present in the supergene clay-rich crust as one of the enriched heavy REE: Yb up to 0.013 percentZhovtorichenske deposit; Dnipropetrovsk region; complex Fe–U–V–Sc–REE metasomatites; Y present in both U–REE and V–Sc ore types; Y content typically 20–500 g/t, with mixed ores 150–250 g/t; Weathering crust up to 40 m thick contains up to 0.13 percent Y; Y hosted mainly in malacon (metamict zircon) and associated metasomatite minerals; Occurs with Sc, V, Zr, REE; Economic recovery possible only as by product within complex ore processing.</t>
  </si>
  <si>
    <t>1 | Quantitative ytterbium content is reported in bulk material (up to 0.013 percent Yb), confirming real mineralisation within the weathering crust. Data Quality: 1
Justification: A quantitative ytterbium grade is explicitly reported (Yb up to 0.013 percent) in the supergene weathering crust. This is a numerical bulk concentration, traceable to geological sources, and can be translated into a CRIRSCO style reporting framework even though Yb is a minor component and tonnage figures are not provided.
Classification Alignment: 0
Justification: The site is explicitly classified as an occurrence and no GKZ categories, UNFC classes, or state approved reserve or resource statements are reported for ytterbium. Mineralisation is described as accessory and recoverable only as a by product, without a formal classification anchor. Under the one discipline rule, this must be scored No.</t>
  </si>
  <si>
    <t xml:space="preserve">Yb in ore: 0.092 percent. Yb in xenotime: 8.5 percentThulium is present only in the xenotime fraction, with a grade of 0.1 percent. Er is strongly enriched in xenotime, with a grade of 6.7 percent.
Er in the bulk ore appears at 0.092 percent. Ho is present only in the xenotime fraction, with a grade of 2.0 percent. Dysprosium is strongly enriched in xenotime within the metasomatised biotite-feldspar rocks. Xenotime contains about 7.3 percent Dy, reflecting its characteristic heavy REE affinity. In the bulk ore, Dy reaches about 0.12 percent. The mineralisation forms granular aggregates and fine segregations of xenotime and monazite concentrated in microclinised biotite and magnetite-rich zones. The overall signature indicates a heavy REE dominated system with Dy as one of the principal enriched elements. </t>
  </si>
  <si>
    <t>1 | Quantitative ytterbium mineralisation is demonstrated with reported bulk ore grades (about 0.092 percent Yb) and strong mineral specific enrichment in xenotime (about 8.5 percent Yb). Data Quality: 1
Justification: Quantitative ytterbium data are explicitly reported, including a bulk ore grade (Yb ≈ 0.092 percent) and strong mineral specific enrichment in xenotime (about 8.5 percent Yb). These are numerical grade values traceable to geological sources and can be translated into a CRIRSCO style reporting framework, even though tonnage figures are not provided and the site is classified as an occurrence.
Classification Alignment: 0
Justification: The site is explicitly described as an occurrence and no GKZ categories, UNFC classes, or state approved reserve or resource statements are reported for ytterbium. There is no formal classification anchor that can be crosswalked to PERC. Under the one discipline rule, this must be scored No.</t>
  </si>
  <si>
    <t>HREE - Lu</t>
  </si>
  <si>
    <t>Lu is not quantified, but is listed in literature among “other lanthanides” present in the supergene crust. Yb is present in the supergene clay-rich crust as one of the enriched heavy REE: Yb up to 0.013 percentZhovtorichenske deposit; Dnipropetrovsk region; complex Fe–U–V–Sc–REE metasomatites; Y present in both U–REE and V–Sc ore types; Y content typically 20–500 g/t, with mixed ores 150–250 g/t; Weathering crust up to 40 m thick contains up to 0.13 percent Y; Y hosted mainly in malacon (metamict zircon) and associated metasomatite minerals; Occurs with Sc, V, Zr, REE; Economic recovery possible only as by product within complex ore processing.</t>
  </si>
  <si>
    <t>0 | Lutetium is explicitly stated as not quantified and is only listed qualitatively among other lanthanides, which does not constitute demonstrable mineralisation. Data Quality: 0
Justification: Lutetium is explicitly stated as not quantified and is only listed qualitatively among other lanthanides present in the supergene crust. No numerical Lu grade, bulk concentration, tonnage, or contained metal estimate is provided. Under the rules, qualitative presence alone does not meet the Data Quality threshold.
Classification Alignment: 0
Justification: The site is classified as an occurrence and no GKZ categories, UNFC classes, or state approved reserve or resource statements are reported for lutetium. Lu is described only as an accessory element within complex metasomatic mineralisation, without a formal classification anchor. Under the one discipline rule, this must be scored No.</t>
  </si>
  <si>
    <t xml:space="preserve">Lu in xenotime: 1.6 percent. Lu in ore: not analysedYb in ore: 0.092 percent. Yb in xenotime: 8.5 percentThulium is present only in the xenotime fraction, with a grade of 0.1 percent. Er is strongly enriched in xenotime, with a grade of 6.7 percent.
Er in the bulk ore appears at 0.092 percent. Ho is present only in the xenotime fraction, with a grade of 2.0 percent. Dysprosium is strongly enriched in xenotime within the metasomatised biotite-feldspar rocks. Xenotime contains about 7.3 percent Dy, reflecting its characteristic heavy REE affinity. In the bulk ore, Dy reaches about 0.12 percent. The mineralisation forms granular aggregates and fine segregations of xenotime and monazite concentrated in microclinised biotite and magnetite-rich zones. The overall signature indicates a heavy REE dominated system with Dy as one of the principal enriched elements. </t>
  </si>
  <si>
    <t>1 | Lutetium is quantitatively reported at the mineral scale (1.6 percent Lu in xenotime), demonstrating real in situ mineralisation even though bulk ore grades are not available. Data Quality: 1
Justification: Lutetium is quantitatively reported in xenotime at 1.6 percent, which constitutes a mineral-scale analytical grade. Although Lu in bulk ore is explicitly not analysed and no tonnage or contained metal estimate is provided, the presence of a numerical Lu concentration in a clearly identified host mineral exceeds qualitative reporting. Under the framework, mineral-scale grades without bulk tonnage qualify for a positive but limited Data Quality score.</t>
  </si>
  <si>
    <t>PGE</t>
  </si>
  <si>
    <t>Kapitanivskiy Massif</t>
  </si>
  <si>
    <t>Ultramafic intrusion</t>
  </si>
  <si>
    <t xml:space="preserve"> 48°54'36.65"N</t>
  </si>
  <si>
    <t xml:space="preserve"> 31°43'12.60"E</t>
  </si>
  <si>
    <t>Mykhailov, V. A., Malyuk, B., Kovalenko, N., Bertrand, G., de Oliveira, D., Wittenberg, A., Wellmer, F.-W., Horwath, Z., Hollis, J., Wall, P., &amp; Quijano Gaudes, L. (2023). Strategic minerals of Ukraine and their investment attractiveness.
International Network for Terrestrial Research and Monitoring (INTRAW). (2015). Metallic critical raw materials – Rhenium and platinum‐group metals in Ukraine: Technical report [PDF]. https://geologists.org/files/ua/ecuag/intraw/iintraw_ir_ea%20uag%20(m1-m18)_technical%20report.pdf</t>
  </si>
  <si>
    <t>Ukraine has no PGM mines, processing plants, smelters or refineries; past export routes via Russia/Kazakhstan are closed; EU toll-processing is costly and logistically difficult; war damage, high-risk transport, and grid instability block reliable supply chains; known PGM occurrences are small, discontinuous and uneconomic; required investment is unrealistic; overall the country lacks the infrastructure, logistics, economics and geopolitical stability to support a viable PGM industry.</t>
  </si>
  <si>
    <t>Kapitanivskiy Massif is a PGE bearing ultramafic intrusion located in the Bug–Ingul megablock, Kirovohrad Oblast (approx. 48.78 N, 31.49 E). It consists of dunite, harzburgite and serpentinised peridotite with chromite schlieren that host PGE enrichment and native rhenium phases as reported in INTRAW. Mineralisation includes pentlandite, pyrrhotite, violarite and late hydrothermal millerite. PGE minerals comprise sperrylite, irarsite, ruarsite, stibiopaladinite, Ir–Os alloys and other PGE arsenides. Localised chromite rich pockets contain Pt 41.3–41.8 g/t and Rh 2.5–2.6 g/t, with minor Pd, Ru, Os and Ir present. REE and PGE behave as immobile metals within Precambrian ultrabasites of the region, consistent with the massif’s magmatic chromite crystallisation followed by metamorphic and hydrothermal remobilisation. Due to small discontinuous high grade zones and absence of economic tonnage, it is classified as an occurrence rather than a deposit.</t>
  </si>
  <si>
    <t>1 | Ultramafic intrusion with documented chromite hosted PGE enrichment, identified PGE minerals (arsenides and alloys) and reported high grade Pt and Rh in chromite rich pockets, which is direct evidence of in situ PGE mineralisation. Data Quality: 1
Justification: Quantitative platinum-group element grades are reported at the mineralised zone scale, including Pt values of 41.3–41.8 g/t and Rh values of 2.5–2.6 g/t in chromite-rich pockets, supported by mineralogical identification of PGE phases (sperrylite, irarsite, Ir–Os alloys). However, these data are limited to small, discontinuous high-grade lenses with no bulk-grade averaging, tonnage estimates, or continuity modelling. Under the framework, localised analytical grades without resource geometry or scale qualify for a low but positive Data Quality score.
Classification Alignment: 0
Justification: The Kapitanivskiy Massif is explicitly classified as an occurrence, with no GKZ, UNFC, or state-approved reserve or resource categories assigned to PGE mineralisation. The lack of defined economic blocks, tonnage, or feasibility-level assessment precludes alignment with any recognised resource classification system.</t>
  </si>
  <si>
    <t>Lypovenkivskiy Massif</t>
  </si>
  <si>
    <t xml:space="preserve"> 48°48'0.02"N x</t>
  </si>
  <si>
    <t xml:space="preserve"> 31°33'4.86"E x</t>
  </si>
  <si>
    <t>Lypovenkivskiy Massif — Technical Summary
Location: Central Ukrainian Shield, Kirovohrad Oblast, Bug Ingul megablock.
Approximate coordinates: 48.80 N, 31.55 E (centre of the mapped ultramafic body east of Kapitanivka, based on Ukrainian geological sheets).
Type: PGE bearing ultramafic intrusion.
Lithology: Dominantly dunite, harzburgite and peridotite, strongly serpentinised, with abundant podiform chromite bodies.
Mineralisation style: Chromite associated PGE enrichment with accessory nickel, cobalt and iron sulphides. Chromite occurs as schlieren, irregular lenses and disseminated aggregates aligned along early deformation structures.
Main ore minerals: Chromite with intergrown pentlandite, pyrrhotite, millerite and minor chalcopyrite. Hydrothermal overprint introduces arsenides and sulpharsenides including nickeline, gersdorffite and PGE bearing arsenides.
PGE minerals: Sperrylite, irarsite, ruarsite, PGE alloys, stibiopaladinite and Os Ir Ru rich intermetallics. The massif is one of the three Ukrainian ultramafic bodies with extremely high platinum and rhodium in chromite rich pockets.
Grades (local high grade pockets): Platinum 41.3 to 41.8 g per tonne, rhodium 2.5 to 2.6 g per tonne. Palladium, osmium, iridium and ruthenium are present in arsenides and alloys. Bulk rock concentrations are much lower.
Geochemical and genetic interpretation: PGE enrichment formed during early magmatic chromite crystallisation from mantle derived ultramafic melts. Regional metamorphism and shear zone activity produced partial remobilisation of PGEs into arsenide and intermetallic phases. Hydrothermal fluids contributed to late nickel sulphide mineralisation.
Economic status: Occurrence only. No continuous ore body, very small and discontinuous high grade zones, insufficient tonnage for industrial evaluation.
Notes: The massif, together with Kapitanivskiy, defines one of the few Ukrainian chromite systems containing native PGE alloys and arsenides.</t>
  </si>
  <si>
    <t>1 | Ultramafic intrusion with podiform chromite bodies and documented PGE phases plus reported high grade Pt and Rh in chromite rich pockets, providing clear evidence of in situ PGE mineralisation despite discontinuity. Data Quality: 1
Justification: Quantitative platinum group element grades are reported for localised chromite rich pockets, including platinum values of 41.3 to 41.8 g/t and rhodium values of 2.5 to 2.6 g/t, supported by detailed mineralogical identification of PGE phases such as sperrylite, irarsite, ruarsite and PGE alloys. However, these grades apply only to very small, discontinuous lenses with no bulk averaging, no tonnage estimates, no continuity modelling and no resource scale evaluation. Under the scoring rules, this supports a low but non zero Data Quality score.
Classification Alignment: 0
Justification: The Lypovenkivskiy Massif is explicitly described as an occurrence only, with no GKZ categories, UNFC classes or state approved reserve or resource statements. The absence of defined ore bodies, tonnage, economic blocks or feasibility assessment prevents alignment with any recognised mineral resource or reserve classification system.</t>
  </si>
  <si>
    <t>Zhdanivska intrusion</t>
  </si>
  <si>
    <t xml:space="preserve"> 48° 8'23.66"N x</t>
  </si>
  <si>
    <t xml:space="preserve"> 38°16'12.22"E x</t>
  </si>
  <si>
    <t>Zhdanivska intrusion is a PGE bearing mafic–ultramafic intrusive body located adjacent to the town of Zhdanivka in Donetsk Oblast (approx. 48.14 N, 38.27 E). It consists of altered peridotites, pyroxenites and serpentinised ultramafics hosting chromite rich zones with elevated PGEs. Sperrylite (PtAs2) is confirmed petrographically with Pt up to 3.68 g per tonne and accessory Ir, Os, Ru and minor Pd in arsenides and intermetallic phases. The intrusion formed from mantle derived ultramafic melts and was overprinted by hydrothermal As rich fluids that stabilised PGE arsenides. Although locally enriched, mineralisation is discontinuous and small scale, so it remains an occurrence rather than an economic deposit.</t>
  </si>
  <si>
    <t>1 | Mafic to ultramafic intrusive body with petrographically confirmed sperrylite and reported Pt grades, plus described host lithologies and alteration, giving direct evidence of in situ PGE mineralisation. Data Quality: 1
Justification: The occurrence is supported by petrographic confirmation of sperrylite (PtAs₂) and reported platinum grades up to 3.68 g/t, with accessory Ir, Os, Ru and minor Pd identified in arsenide and intermetallic phases. Geological context, lithology and genetic interpretation are described, but grade data are limited, spatial continuity is not demonstrated, and no tonnage, bulk sampling or averaging is reported. This supports a low but non zero Data Quality score under the framework.
Classification Alignment: 0
Justification: Zhdanivska is explicitly classified as an occurrence, with no GKZ, UNFC or CRIRSCO style resource or reserve categories, no delineated ore bodies and no economic or feasibility evaluation. As such, it does not align with any recognised mineral resource classification system.</t>
  </si>
  <si>
    <t>Prutivskiy</t>
  </si>
  <si>
    <t>Mafic–ultramafic Cu Ni Co sulphide</t>
  </si>
  <si>
    <t xml:space="preserve"> 50°19'9.85"N</t>
  </si>
  <si>
    <t xml:space="preserve"> 28° 4'51.29"E</t>
  </si>
  <si>
    <t>Derzhavna Komisija po Zapасах Korисних Kopалин Ukrainy. (2020, August 27). Protocol No. 5160: Geological-economic evaluation of the Prutivskiy sulphide copper-nickel ore occurrence, Romaniv District, Zhytomyr Oblast [PDF]. State Service of Geology and Subsoil of Ukraine. https://prutivka.com/en/resources/
"Mykhailov, V. A., Malyuk, B., Kovalenko, N., Bertrand, G., de Oliveira, D., Wittenberg, A., Wellmer, F.-W., Horwath, Z., Hollis, J., Wall, P., &amp; Quijano Gaudes, L. (2023). Strategic minerals of Ukraine and their investment attractiveness.
International Network for Terrestrial Research and Monitoring (INTRAW). (2015). Metallic critical raw materials – Rhenium and platinum‐group metals in Ukraine: Technical report [PDF]. https://geologists.org/files/ua/ecuag/intraw/iintraw_ir_ea%20uag%20(m1-m18)_technical%20report.pdf"</t>
  </si>
  <si>
    <t>Prutivskiy (Prutivka) is a Proterozoic Cu–Ni–Co sulphide occurrence with minor PGE enrichment located in Romaniv District, Zhytomyr Oblast, within the Buky basic-ultrabasic massif of the northwestern Ukrainian Shield (approx. 50.51–50.52 N, 28.05–28.10 E). Mineralisation is hosted by a sill-like gabbro–dolerite intrusion of the Prutivka complex surrounded by biotite-amphibole gneisses and plagiomigmatites. Sulphides occur in the endo- and exocontact zones as pyrrhotite, pentlandite, chalcopyrite, cubanite, pyrite and violarite forming disseminations, interstitial aggregates, nets, and local massive zones. Drill-supported 3D geological and resource models define continuous Ni-Cu-Co mineralisation down to 600 m depth. Resources at 0 to 1.5 percent Ni-equivalent cut-off range from 56.3 Mt at 0.45 percent NiEq to 0.05 Mt at 1.66 percent NiEq, with Ni, Cu and Co grade-tonnage curves showing increasing average grade toward higher cut-offs. The intrusion is 1.5 km long with well-defined structural controls and multiple confirmed mineralised intercepts from historical and modern drilling (PR-21 series). Petrography shows pentlandite intergrown with pyrrhotite and chalcopyrite with local late-stage sulphide replacement. The licensed exploration area covers 15 km² (Special Permit No. 4925, 2019) with defined corner coordinates at 50°19′10 N 28°03′06 E; 50°20′37 N 28°08′03 E; 50°18′50 N 28°06′55 E; 50°18′31 N 28°05′19 E. Logistics include year-round road access, proximity to rail, power and gas infrastructure. Although rich in Cu–Ni–Co, PGE grades (Pt, Pd, Ir, Os, Ru) are minor and irregular. Classification: advanced sulphide occurrence with significant defined NiEq resources but not yet an economic deposit under international codes (JORC/NI-43-101 pending).</t>
  </si>
  <si>
    <t>1 | Drilled mafic to ultramafic sulphide occurrence with continuous Cu Ni Co sulphide mineralisation modelled in 3D and minor reported PGE enrichment, providing demonstrable in ground mineralisation rather than speculation. Data Quality: 1
Justification: Tonnage and grades are reported numerically, including Ni equivalent cut off ranges and grade tonnage relationships. The figures are traceable to state level documentation and peer reviewed literature. Even though legacy and not CRIRSCO compliant, the data can be translated into a comparable framework.
Classification Alignment: 1
Justification: A state approved geological economic evaluation exists, and the site is treated in official sources as an advanced sulphide occurrence with defined resources rather than a mere showing. This provides a clear classification anchor that can be crosswalked, even if international code compliance is explicitly pending.</t>
  </si>
  <si>
    <t>Zaliznyakivskiy</t>
  </si>
  <si>
    <t xml:space="preserve"> 50°42'57.91"N x</t>
  </si>
  <si>
    <t xml:space="preserve"> 28°17'57.11"E x</t>
  </si>
  <si>
    <t>Zaliznyakivskiy is a small Proterozoic ultramafic body within the Volyn megablock of the northwestern Ukrainian Shield, interpreted as part of the same Ni–Cu–Co–PGE-bearing ultramafic trend as Prutivskiy and Kamenskiy; approximate position falls in the NW Shield belt of Żhytomyr–Rivne. The body consists of serpentinised peridotites and pyroxenites with disseminated pentlandite, pyrrhotite and chalcopyrite, and contains trace PGE minerals (sperrylite, Pt–Pd–Ir–Os–Ru alloys) in chromite-bearing zones. Reported PGE grades are low and discontinuous, occurring only in small pockets. No drilling, resource estimates or state reserve categories exist, and it is classified strictly as a PGE–Ni–Cu occurrence without economic significance.</t>
  </si>
  <si>
    <t>1 | Ultramafic body described with disseminated sulphides and chromite zones hosting trace PGE minerals, indicating demonstrable in situ mineralisation even though grades and tonnage are not defined. Data Quality: 0
Justification: No tonnage or grade is reported in a quantitative, traceable way. PGE presence is described qualitatively as low, discontinuous, and pocket based, with no numerical values, cut offs, or resource figures. The data cannot be translated into a CRIRSCO style quantitative framework.
Classification Alignment: 0
Justification: No GKZ, UNFC, or state reserve categories are reported. The site is explicitly described as an occurrence, with no drilling, no resource estimation, and no formal reserve or resource classification anchor.</t>
  </si>
  <si>
    <t>Kamenskiy</t>
  </si>
  <si>
    <t xml:space="preserve"> 50°49'6.35"N x</t>
  </si>
  <si>
    <t xml:space="preserve"> 28°39'27.70"E x</t>
  </si>
  <si>
    <t>Kamenskiy is a Proterozoic ultramafic Ni–Cu–Co–PGE occurrence within the Volyn megablock of the northwestern Ukrainian Shield, forming part of the same ultramafic belt as Prutivskiy and Zaliznyakivskiy; its approximate position lies in the Żhytomyr–Rivne sector of the Shield, though formal coordinates are not published. The body consists of serpentinised peridotites, pyroxenites and minor gabbroic rocks intruded into high-grade gneisses and migmatites. Sulphide mineralisation includes disseminated pentlandite, pyrrhotite and chalcopyrite with rare millerite, while chromite-bearing zones and metasomatic pockets contain trace PGE phases such as sperrylite and Pt–Pd–Ir–Os–Ru alloys. Reported PGE grades are low and sporadic, with no continuous ore zones. The occurrence has no drilling, resource estimates or state reserve categories, and is classified solely as a low-tonnage ultramafic-hosted Ni–Cu–PGE occurrence of purely scientific interest rather than economic significance.</t>
  </si>
  <si>
    <t>1 | Ultramafic body described with sulphide mineralisation and chromite associated trace PGE phases, providing clear geological evidence of mineralisation even without quantified resources. Data Quality: 0
Justification: No quantitative tonnage or grade data are reported. Mineralisation and PGE content are described only qualitatively as low, sporadic, and trace. Without numerical values or traceable resource figures, the data cannot be translated into a CRIRSCO style framework.
Classification Alignment: 0
Justification: No GKZ, UNFC, or state reserve or resource categories are mentioned. The site is explicitly treated as an occurrence of scientific interest, with no drilling, no resource estimation, and no formal classification anchor.</t>
  </si>
  <si>
    <t>Northern-Tarnovatskiy (Dniester–Boug)</t>
  </si>
  <si>
    <t>Ternopil</t>
  </si>
  <si>
    <t xml:space="preserve"> 48°55'17.85"N</t>
  </si>
  <si>
    <t xml:space="preserve"> 25°59'48.48"E</t>
  </si>
  <si>
    <t>Northern-Tarnovatskiy is a Proterozoic ultramafic–mafic occurrence in the Dniester–Boug megablock of the southwestern Ukrainian Shield near Tarnavka, consisting of serpentinised peridotites, pyroxenites and gabbroic rocks with disseminated pentlandite–pyrrhotite–chalcopyrite and minor chromite; PGE enrichment (Pt–Pd–Ir–Os–Ru) occurs in trace arsenides and alloys within chromite-bearing zones. No resource estimates or state reserve categories exist, and it is classified purely as a small PGE–Ni–Cu occurrence without economic significance.</t>
  </si>
  <si>
    <t>1 | Ultramafic to mafic occurrence described with sulphides, chromite and trace PGE phases in chromite bearing zones, which is direct evidence of in situ mineralisation. Data Quality: 0
Justification: No quantitative tonnage or grade data are reported. Mineralisation and PGE enrichment are described only qualitatively as trace and minor, without numerical values, cut offs, or resource figures. The data cannot be translated into a CRIRSCO style quantitative framework.
Classification Alignment: 0
Justification: No GKZ, UNFC, or state reserve or resource categories are reported. The site is explicitly classified as a small occurrence with no economic significance and no formal classification anchor.</t>
  </si>
  <si>
    <t>Varvarivskiy</t>
  </si>
  <si>
    <t xml:space="preserve"> 48°54'0.99"N</t>
  </si>
  <si>
    <t xml:space="preserve"> 35°28'44.95"E</t>
  </si>
  <si>
    <t>Varvarivskiy is a Proterozoic ultramafic–mafic Ni–Cu–Co–PGE occurrence in the Middle Dnipro megablock of the Ukrainian Shield near Varvarivka, Dnipropetrovsk region (approx. 48.65 N, 34.17 E), consisting of serpentinised peridotites, pyroxenites and gabbro-norites with disseminated pentlandite–pyrrhotite–chalcopyrite and chromite. Trace PGE mineralisation (Pt–Pd–Ir–Os–Ru) occurs in chromite-rich zones as scattered alloys and arsenides. Reported PGE values can reach several g/t in isolated samples, but mineralisation is discontinuous with no reserves or resource classifications. Varvarivskiy is considered a small ultramafic-hosted PGE–Ni–Cu occurrence of scientific, not economic, significance.</t>
  </si>
  <si>
    <t>1 | Ultramafic to mafic occurrence described with sulphides and chromite rich zones containing trace PGE alloys and arsenides, indicating demonstrable in ground PGE mineralisation despite lack of resource definition. Data Quality: 0
Justification: Although isolated samples reportedly reach several g/t PGE, there is no tonnage, no continuous grade reporting, and no contextualised quantitative dataset. Values are sample based and discontinuous, without resource scale figures. The data cannot be translated into a CRIRSCO style framework.
Classification Alignment: 0
Justification: No GKZ, UNFC, or state reserve or resource categories are reported. The site is explicitly described as a small occurrence of scientific interest, with no drilling, no resource estimation, and no formal classification anchor.</t>
  </si>
  <si>
    <t>Alferivskiy</t>
  </si>
  <si>
    <t xml:space="preserve"> 48°37'48.00"N x</t>
  </si>
  <si>
    <t xml:space="preserve"> 34°15'0.00"E x</t>
  </si>
  <si>
    <t>Ukrainian Geological Survey. (2009). Geologicheskaya karta i karta poleznykh iskopaemykh: Dokhet L-36-IV Kryvyi Rih [Geological map and map of mineral resources]. Retrieved from https://www.geokniga.org/sites/geokniga/files/mapcomments/l-36-iv-krivoy-rog-geologicheskaya-karta-i-karta-poleznyh-iskopaemyh-dochet.pdf
"Mykhailov, V. A., Malyuk, B., Kovalenko, N., Bertrand, G., de Oliveira, D., Wittenberg, A., Wellmer, F.-W., Horwath, Z., Hollis, J., Wall, P., &amp; Quijano Gaudes, L. (2023). Strategic minerals of Ukraine and their investment attractiveness.
International Network for Terrestrial Research and Monitoring (INTRAW). (2015). Metallic critical raw materials – Rhenium and platinum‐group metals in Ukraine: Technical report [PDF]. https://geologists.org/files/ua/ecuag/intraw/iintraw_ir_ea%20uag%20(m1-m18)_technical%20report.pdf"</t>
  </si>
  <si>
    <t>Alferivskiy (II-4-187) is a sulphide-type copper occurrence in the Kryvyi Rih Ingulets structural zone of the Ukrainian Shield, hosted in Archean amphibolites, ferruginous quartzites and plagiogranites (approx. 47.85 N, 33.35 E). Ore bodies are lens- and bunch-shaped, 0.3–1.0 m thick and 60–80 m long, with vein-disseminated chalcopyrite, pyrite and pyrrhotite; copper grades average 0.45–0.5% with minor Ni, Zn, Pb, Au and Ag. No PGE mineralisation is known, no drilling or resource categories exist, and the occurrence is considered low-perspective and non-economic.</t>
  </si>
  <si>
    <t>0 | Copper sulphide occurrence is described with Cu grades and geometry, but it explicitly notes no known PGE mineralisation, so there is no demonstrable PGE mineralisation evidence for the PGE criterion. Data Quality: 0
Justification: Only isolated sample values are mentioned, with no tonnage, no continuous grade reporting, and no resource scale context. The data cannot be translated into a CRIRSCO style quantitative framework.
Classification Alignment: 0
Justification: No GKZ, UNFC, or state reserve or resource categories are reported. The site is explicitly treated as a non economic occurrence with no formal classification anchor.</t>
  </si>
  <si>
    <t>Sukhokhutirskiy</t>
  </si>
  <si>
    <t xml:space="preserve"> 48°34'7.22"N x</t>
  </si>
  <si>
    <t xml:space="preserve"> 34°25'13.42"E x</t>
  </si>
  <si>
    <t xml:space="preserve">
"Mykhailov, V. A., Malyuk, B., Kovalenko, N., Bertrand, G., de Oliveira, D., Wittenberg, A., Wellmer, F.-W., Horwath, Z., Hollis, J., Wall, P., &amp; Quijano Gaudes, L. (2023). Strategic minerals of Ukraine and their investment attractiveness.
</t>
  </si>
  <si>
    <t>Sukhokhutirskiy is a Proterozoic ultramafic–mafic PGE–Ni–Cu occurrence in the Middle Dnipro megablock of the Ukrainian Shield near Sukhokhutir, Dnipropetrovsk region (approx. 48.57 N, 34.42 E), composed of peridotites, pyroxenites and gabbro-norites with disseminated pentlandite–pyrrhotite–chalcopyrite mineralisation. PGE (Pt–Pd–Ir–Os–Ru) appear only as trace alloys in chromite segregations and interstitial sulphides; grades are very low and no resources have been defined. Classified as a small, non-economic ultramafic PGE occurrence of scientific interest only.</t>
  </si>
  <si>
    <t>1 | Ultramafic to mafic occurrence described with sulphides and chromite segregations hosting trace PGE alloys, which constitutes direct evidence of in situ PGE mineralisation. Data Quality: 0
Justification: No quantitative tonnage or grade data are reported. PGE and base metal mineralisation are described only qualitatively as trace or very low, without numerical values or resource scale context. The data cannot be translated into a CRIRSCO style framework.
Classification Alignment: 0
Justification: No GKZ, UNFC, or state reserve or resource categories are reported. The site is explicitly classified as a small, non economic occurrence of scientific interest, with no formal classification anchor.</t>
  </si>
  <si>
    <t>Azov megablock</t>
  </si>
  <si>
    <t xml:space="preserve"> 47°19'23.17"N x</t>
  </si>
  <si>
    <t xml:space="preserve">  37°23'9.52"E x</t>
  </si>
  <si>
    <t>Azov megablock is the southeastern structural domain of the Ukrainian Shield, composed of Archean–Paleoproterozoic granulites, gneisses and granitoids with local mafic–ultramafic lenses that show trace PGE anomalies but no defined deposits; considered a region of small, non-economic PGE occurrences.</t>
  </si>
  <si>
    <t>0 | Regional megablock description mentions only trace PGE anomalies without a defined mineralised body, host controls, or documented mineralisation, so it does not meet the demonstrable mineralisation threshold. Data Quality: 0
Justification: No tonnage or grade data are reported. PGE presence is described only qualitatively as trace anomalies at a regional scale, without numerical values or deposit specific data. The data cannot be translated into a CRIRSCO style quantitative framework.
Classification Alignment: 0
Justification: No GKZ, UNFC, or state reserve or resource categories are reported. This is a regional structural domain rather than a defined deposit, explicitly described as hosting only small, non economic occurrences, with no classification anchor.</t>
  </si>
  <si>
    <t>Riphean basalts (Volyn)</t>
  </si>
  <si>
    <t>Flood-basalt</t>
  </si>
  <si>
    <t xml:space="preserve"> 50°44'51.16"N x</t>
  </si>
  <si>
    <t xml:space="preserve">  25°18'6.54"E x</t>
  </si>
  <si>
    <t>Riphean basalts (Volyn) represent a Neoproterozoic flood-basalt province in NW Ukraine (centre approx. 50.75 N, 25.30 E) composed of tholeiitic and high-Ti basalts, dolerite sills and dikes that locally contain low-grade Pt–Pd–Ir–Os anomalies associated with minor sulphides and chromite interlayers; no economic PGE resources defined, classified as trace PGE occurrences only.</t>
  </si>
  <si>
    <t>0 | Flood basalt province is described only as having low grade PGE anomalies with no defined mineralised body or documented mineralisation features, so evidence remains speculative at the deposit scale. Data Quality: 0
Justification: PGE presence is described only as low grade anomalies without any reported tonnage, grades, cut offs, or quantitative resource data. The information is qualitative and regional in nature, and cannot be translated into a CRIRSCO style quantitative framework.
Classification Alignment: 0
Justification: No GKZ, UNFC, or state reserve or resource categories are reported. The unit is a flood basalt province with trace anomalies rather than a defined deposit, and no formal classification anchor exists.</t>
  </si>
  <si>
    <t>Kryvyj Rih basin</t>
  </si>
  <si>
    <t>Banded Iron Formation</t>
  </si>
  <si>
    <t xml:space="preserve"> 47°55'52.02"N x</t>
  </si>
  <si>
    <t>Kryvyi Rih basin (approx. 47.92 N, 33.35 E) hosts trace PGE enrichment within Paleoproterozoic banded iron formations and related sulphide-bearing horizons of the Kryvyi Rih–Kremenchuk fault zone; Pt locally reaches 0.1–0.3 g/t with Pd, Ir, Rh and Os in trace amounts, related to hydrothermal remobilisation; classified as an occurrence with no economic PGE resources.</t>
  </si>
  <si>
    <t>1 | Specific host setting is given (banded iron formation horizons) with reported Pt values and associated trace PGE, which is direct evidence of mineralisation even if not economic or resource defined. Data Quality: 0
Justification: Although isolated PGE values are mentioned (for example Pt at 0.1–0.3 g/t), there is no associated tonnage, no continuous grade reporting, and no resource scale context. The data are occurrence based and cannot be translated into a CRIRSCO style quantitative framework.
Classification Alignment: 0
Justification: No GKZ, UNFC, or state reserve or resource categories are reported. The basin is explicitly classified as an occurrence with no economic PGE resources and no formal classification anchor.</t>
  </si>
  <si>
    <t>Carpathian Cliff Ultramafics</t>
  </si>
  <si>
    <t xml:space="preserve"> 48°37'9.99"N x</t>
  </si>
  <si>
    <t xml:space="preserve"> 23°11'57.84"E</t>
  </si>
  <si>
    <t>Carpathian Cliff ultramafics, centred approx. 48.62 N, 23.20 E, consist of alpine-type serpentinites, dunites, and podiform chromitites within the Outer Carpathian escarpment; chromite pods contain trace Pt, Pd, Ir, and Os hosted in chromite inclusions and serpentinised ultramafics, with grades typically below 0.1 g/t; classified as a PGE occurrence with no economic resources.</t>
  </si>
  <si>
    <t>1 | Alpine type ultramafics with podiform chromitites are described, and trace PGE in chromite related settings is reported, providing direct evidence of in situ mineralisation. Data Quality: 0
Justification: PGE grades are reported only qualitatively and at trace levels, with no tonnage, no continuous grade reporting, and no resource scale data. The information cannot be translated into a CRIRSCO style quantitative framework.
Classification Alignment: 0
Justification: No GKZ, UNFC, or state reserve or resource categories are reported. The site is explicitly classified as an occurrence with no economic resources and no formal classification anchor.</t>
  </si>
  <si>
    <t>Middle Pobuzhie skarns</t>
  </si>
  <si>
    <t xml:space="preserve"> 48°21'0.00"N x</t>
  </si>
  <si>
    <t xml:space="preserve"> 30°55'48.00"E</t>
  </si>
  <si>
    <t>Middle Pobuzhie skarns, centred approx. 48.35 N, 30.93 E, are Proterozoic Fe–Cu–Au skarn systems developed where granitoid intrusions reacted with carbonate-bearing gneisses and marbles along the Syniukha River zone of the Ukrainian Shield; skarn assemblages include andradite–grossular garnet, clinopyroxene, magnetite–ilmenite and sulphides such as chalcopyrite, pyrrhotite and pyrite; PGE anomalies (Pt, Pd, Rh) occur in magnetite-rich and sulphide-bearing skarn zones and in calc-silicate rocks, with typical values 0.05–0.2 g/t Pt+Pd and Rh in the ppb range, associated with oxide and sulphide microinclusions; mineralisation is discontinuous, small-scale and structurally controlled, with no drilling, no resource categories and classified strictly as a minor PGE occurrence with no economic potential.</t>
  </si>
  <si>
    <t>1 | Skarn systems are described with clear mineral assemblages and reported Pt plus Pd anomalism in magnetite rich and sulphide bearing zones, providing direct evidence of mineralisation. Data Quality: 0
Justification: Although approximate PGE values are mentioned (for example 0.05–0.2 g/t Pt+Pd), there is no associated tonnage, no continuous grade reporting, and no resource scale context. The data are occurrence based and cannot be translated into a CRIRSCO style quantitative framework.
Classification Alignment: 0
Justification: No GKZ, UNFC, or state reserve or resource categories are reported. The site is explicitly classified as a minor occurrence with no economic potential and no formal classification anchor.</t>
  </si>
  <si>
    <t>Donbas red-bed/metasomatites</t>
  </si>
  <si>
    <t>red-bed and metasomatite</t>
  </si>
  <si>
    <t xml:space="preserve"> 48° 1'48.00"N x</t>
  </si>
  <si>
    <t xml:space="preserve"> 38°31'12.00"E</t>
  </si>
  <si>
    <t>Donbas red-bed and metasomatite PGE anomalies, centred approximately 48.03 N, 38.52 E, represent isolated occurrences where elevated Pt-group element contents were reported in Permian red-colour sediments and metasomatic zones of the Donetsk Basin; no geological parameters, grades, mineralogy or ore bodies are documented, and the area is classified only as a non-economic PGE occurrence.</t>
  </si>
  <si>
    <t>0 | Explicitly described as isolated anomalies with no documented geology, grades, mineralogy, or ore bodies, so it does not meet demonstrable mineralisation evidence. Data Quality: 0
Justification: No quantitative tonnage, grade, or mineralogical data are reported. PGE presence is mentioned only as isolated anomalies without numerical values or traceable geological context. The data cannot be translated into a CRIRSCO style quantitative framework.
Classification Alignment: 0
Justification: No GKZ, UNFC, or state reserve or resource categories are reported. The area is explicitly classified as a non economic occurrence with no formal classification anchor.</t>
  </si>
  <si>
    <t>Weathering crusts on mafic–ultramafic massifs</t>
  </si>
  <si>
    <t xml:space="preserve"> mafic–ultramafic massifs</t>
  </si>
  <si>
    <t xml:space="preserve"> 48°36'0.05"N x</t>
  </si>
  <si>
    <t xml:space="preserve"> 31°59'59.98"E</t>
  </si>
  <si>
    <t>Weathering crusts on mafic–ultramafic massifs of the Ukrainian Shield, centred approximately 48.60 N, 32.00 E, represent locations where elevated Pt-group element contents were reported in residual weathered zones developed above ultramafic and mafic bodies; no specific massifs, grades, mineralogy, or ore bodies are documented, and these are classified only as non-economic PGE occurrences.</t>
  </si>
  <si>
    <t>0 | Described generically as elevated contents in weathering crusts with no specific bodies, grades, mineralogy, or ore geometry documented, so evidence is not demonstrable at a site level. Data Quality: 0
Justification: No quantitative tonnage or grade data are reported. PGE presence is mentioned only as elevated contents in weathering crusts without numerical values, deposit scale context, or traceable datasets. The data cannot be translated into a CRIRSCO style quantitative framework.
Classification Alignment: 0
Justification: No GKZ, UNFC, or state reserve or resource categories are reported. These are described as generic, non economic occurrences rather than defined deposits, with no formal classification anchor.</t>
  </si>
  <si>
    <t>Middle Transnistria placers</t>
  </si>
  <si>
    <t>Vynnitsia</t>
  </si>
  <si>
    <t xml:space="preserve"> 48°31'15.81"N x</t>
  </si>
  <si>
    <t xml:space="preserve"> 27°48'20.98"E</t>
  </si>
  <si>
    <t>Middle Transnistria placers, centred approximately 48.53 N, 27.80 E, represent alluvial gold-bearing placer occurrences along the Middle Dniester region where elevated Pt-group element contents have been reported; no geological parameters, mineralogy, grades or defined ore bodies are documented, and the area is classified only as a non-economic PGE occurrence.</t>
  </si>
  <si>
    <t>0 | Placer area is described only as having elevated PGE contents with no grades, mineralogy, or defined bodies documented, so evidence is not demonstrable. Data Quality: 0
Justification: No quantitative tonnage or grade data are reported. PGE presence is mentioned only as elevated contents associated with placer occurrences, without numerical values, continuity, or resource scale context. The data cannot be translated into a CRIRSCO style quantitative framework.
Classification Alignment: 0
Justification: No GKZ, UNFC, or state reserve or resource categories are reported. The area is explicitly classified as a non economic occurrence with no formal classification anchor.</t>
  </si>
  <si>
    <t>Pobuzhie placers</t>
  </si>
  <si>
    <t xml:space="preserve"> 48°19'13.14"N x</t>
  </si>
  <si>
    <t xml:space="preserve"> 30°52'13.16"E</t>
  </si>
  <si>
    <t>Pobuzhie placers, centred around 48.32 N, 30.87 E, represent alluvial gold-bearing placer occurrences along the Southern Bug (Pobuzhie) region where elevated PGE contents have been reported; no geological parameters, mineralogy, grades, or defined ore bodies are documented, and the occurrence is classified only as a non-economic PGE-bearing placer system.</t>
  </si>
  <si>
    <t>0 | Placer area is described only as having elevated PGE contents with no grades, mineralogy, or defined bodies documented, so evidence is not demonstrable. Data Quality: 0
Justification: No quantitative tonnage or grade data are reported. PGE presence is described only as elevated contents associated with placer settings, without numerical values, continuity, or resource scale context. The data cannot be translated into a CRIRSCO style quantitative framework.
Classification Alignment: 0
Justification: No GKZ, UNFC, or state reserve or resource categories are reported. The occurrence is explicitly classified as a non economic PGE bearing placer system, with no formal classification anchor.</t>
  </si>
  <si>
    <t>Zhyrychi</t>
  </si>
  <si>
    <t>Native copper</t>
  </si>
  <si>
    <t xml:space="preserve"> 51°40'26.06"N</t>
  </si>
  <si>
    <t xml:space="preserve"> 24°26'11.46"E</t>
  </si>
  <si>
    <t xml:space="preserve">
"Mykhailov, V. A., Malyuk, B., Kovalenko, N., Bertrand, G., de Oliveira, D., Wittenberg, A., Wellmer, F.-W., Horwath, Z., Hollis, J., Wall, P., &amp; Quijano Gaudes, L. (2023). Strategic minerals of Ukraine and their investment attractiveness.
Mykhailov, V., Kurylo, M., Andreeva, O., &amp; Shnyukov, S. (2022). Prospects for industrial ore-bearing of Zhyrychi ore occurrence. Bulletin of Kyiv National University. Geology.
https://geology.bulletin.knu.ua/en/article/view/909/702
Emetz, A. V., Zagnitko, V. M., &amp; Prykhod’ko, V. L. (2005). Mineral compositions and genesis of the ore bodies of the Zhyrychi Cu deposit (North-Western Ukraine). Mineralogical Journal (Ukraine), 27(1), 87–95.
https://igmr.org.ua/pdf/emetz_mj_2005-1.pdf
</t>
  </si>
  <si>
    <t>At the Zhyrychi copper ore occurrence, earlier State Commission assessments had approved prognostic P1 and C2 reserves of platinum and palladium within the copper ores, but subsequent geological reassessment shows these PGE estimates are unreliable and unsupported, with no confirmed economic PGE mineralization. The Zhyrychi copper ore occurrence in Volyn is hosted within extrusive–pyroclastic rocks of the Vendian Volynska Series and consists of lenticular, discontinuous native-copper–bearing horizons occurring at depths of 164–537 m. Drilling of 53 wells demonstrated that earlier assumptions of 4–5 km continuous ore bodies were incorrect, with actual ore lenses extending only hundreds of metres and showing poor correlation between drill holes. Previous resource estimates were artificially inflated due to violations of cutoff parameters, including an incorrect Cu cutoff grade (0.2%), minimum ore body thickness (1 m), and maximum barren interlayer thickness (1 m). Earlier prognostic resources by the State Commission reported 858.93 kt Cu (P1) and 133.39 kt Cu (P2), totalling 992.32 kt Cu, but new reassessment reduces P1 resources to 220.4 kt and reassigns 125 kt to P2, bringing total P2 resources to 905.31 kt Cu. Ore bodies are small-scale, weakly correlated, occur at significant depth that precludes open-pit mining, and the deposit’s economic potential remains limited. Historical approvals of platinum and palladium resources at Zhyrychi are considered unreliable.</t>
  </si>
  <si>
    <t>0 | Historical Pt and Pd estimates are stated to be unreliable and unsupported by reassessment, with no confirmed PGE mineralisation, so demonstrable PGE mineralisation evidence is not met.Data Quality: 1
Justification: Quantitative tonnage figures are reported numerically for copper, with clearly documented historical and revised resource estimates (P1, P2) based on drilling. Even though the PGE component is later judged unreliable, the data themselves are traceable, numerical, and interpretable in a CRIRSCO style sense. This satisfies translatability, not trustworthiness.
Classification Alignment: 1
Justification: Formal state classifications are explicitly referenced, including prognostic P1 and C2 categories approved by the State Commission. Even though subsequent reassessment invalidates earlier assumptions, the existence of a GKZ style classification anchor is clear and sufficient for crosswalking purposes.</t>
  </si>
  <si>
    <t>Copper</t>
  </si>
  <si>
    <t>Ukraine copper post-mining overview (processing, infrastructure, economics, geopolitics): Volyn native-copper (Zhyrychi cluster and nearby) is thin (typically 1 to 3 m), discontinuous, lens-shaped, historically overestimated and reassessed downward, so viable concepts (if any) require selective underground mining with tight dilution control, early waste rejection via crushing plus sorting, and potentially gravity concentration where native Cu liberation allows; bulk underground tonnage is hard to justify and cut-off and thickness sensitivity is extreme, so economic viability is generally doubtful and investment attractiveness is low due to geometry, continuity risk, and high development cost per tonne. Donbas stratiform sediment-hosted copper (Bakhmut Basin group) with reported around ~1% Cu and deposit-scale tonnage would normally use crush-grind plus flotation to concentrate, then offsite smelting and refining, but location risk in Donetsk-area sites dominates feasibility via insurability, permitting, workforce stability, and export routing. Shield-hosted sulphides and Cu-Ni systems (for example Prutivske-type) typically produce flotation concentrate (bulk or selective Cu-Ni) for external smelting unless domestic capacity exists; Cu alone can be weak but Ni-Co credits may carry value depending on grades and metallurgy. Technogenic copper resources (wastes, tailings, slags) can be the most near-term practical because they avoid deep mining, can be modular and capex-light, and may suit heap leaching or agitated leach with SX-EW to cathode if kinetics and impurity control work. Cross-cutting infrastructure needs are stable power (especially for grinding and any electrowinning), process water with recycling, reagents (lime, acids, collectors, flocculants), tailings or residue management, and logistics (roads for consumables, rail for concentrate, and reliable export corridors); since 2022, corridor functionality and port risk strongly shape commodity exports, and if Ukraine produces concentrate rather than cathode it usually needs dependable cross-border transport to EU smelters, so near-term comparative advantage is upstream concentrates plus technogenic recovery unless domestic smelting is financeable under wartime risk. Geopolitics frames the whole chain: EU-Ukraine strategic raw materials partnership logic favours traceable, ESG-aligned supply and ideally more value-add than ore; war risk adds risk premiums even in western or central regions through energy security, logistics disruption, and capital-market constraints; copper demand is structurally supported by electrification, but Ukraine’s post-mining map is primarily a security and policy story, so the practical strategy is (1) treat Volyn objects as high-risk exploration plays with strict resource hygiene and early metallurgical testwork and sorting flowsheets, (2) prioritise technogenic projects where leachability and environmental controls work, (3) default to a concentrate export model for sulphides unless domestic smelting becomes viable, and (4) structure investment cases around governance, transparency, ESG, and value-chain integration requirements.</t>
  </si>
  <si>
    <t>Zhyrychi occurrence: 53 wells drilled. Earlier estimates assumed ore bodies 4 to 5 km long but new analysis shows lenticular bodies only hundreds of metres long and 1 to 3 m thick. Previous resource evaluation violated cutoff rules Cu cutoff 0.2 percent minimum ore thickness 1.0 m and max barren layers 1.0 m leading to major overestimation. Exploration materials gave P1 858.93 kt Cu and P2 133.39 kt Cu total 992.32 kt Cu. Reassessment shows real continuous ore much smaller with P1 220.4 kt Cu which is 4.5 times lower and remaining 125 kt reclassified to P2 giving P2 905.31 kt Cu. Mineralisation is discontinuous and lens shaped. Geological continuity poor and economic viability doubtful due to thin scattered ore and need for underground mining.</t>
  </si>
  <si>
    <t>1 | Drilling confirms native-copper mineralisation occurs as lens-shaped bodies (hundreds of metres long, 1–3 m thick) within the Zhyrychi occurrence, so there is clear in-ground mineralisation even if continuity is poor. Data Quality: 1
Justification: Copper tonnage figures are reported numerically and in detail, including drilling based estimates and revised P1 and P2 quantities. The data are traceable, quantitative, and can be interpreted in a CRIRSCO style framework, regardless of later criticism of methodology or economic viability.
Classification Alignment: 1
Justification: Formal state classification categories (P1 and P2) are explicitly reported and discussed. These provide a clear GKZ style classification anchor that can be crosswalked, even though the reassessment demonstrates overestimation and weak geological continuity.</t>
  </si>
  <si>
    <t>Zalisy–Shmenky</t>
  </si>
  <si>
    <t>Native Copper</t>
  </si>
  <si>
    <t xml:space="preserve"> 51°37'34.62"N</t>
  </si>
  <si>
    <t xml:space="preserve"> 24°21'23.82"E</t>
  </si>
  <si>
    <t>Mykhailov, V. A., Malyuk, B., Kovalenko, N., Bertrand, G., de Oliveira, D., Wittenberg, A., Wellmer, F.-W., Horwath, Z., Hollis, J., Wall, P., &amp; Quijano Gaudes, L. (2023). Strategic minerals of Ukraine and their investment attractiveness.
Mykhailov, V., Andreeva, O., &amp; Sydorchuk, V. (2025). Investment attractiveness of the main copper occurrences of the Volyn ore region. Paper presented at Monitoring’2025, XVIII International Scientific Conference “Monitoring of Geological Processes and Ecological Condition of the Environment”, Kyiv, Ukraine, 14–17 April 2025. DOI: https://doi.org/10.3997/2214-4609.2025510162
High copper test 2021. (2021, August 9). Who wants to pay more than 122 million for Zalisy Shmenky? https://nadra.info/2021/08/high-copper-test-who-wants-to-pay-more-than-122-million-for-zalisy-shmenky</t>
  </si>
  <si>
    <t>Zalisy Shmenky: SE continuation of Zhyrychi. Thirty one wells drilled; 504 samples; only 47 samples above 0.2 percent Cu (9.3 percent). Earlier work proposed six ore horizons 1A 2A 2B 2B 3A 3B but detailed analysis shows no persistent ore bodies; mineralisation is discontinuous along strike and dip and limited to small lenses and nests with low thickness. Recalculated Cu resources reduced by almost one order of magnitude: P2 equals 82.19 kt Cu and P3 equals 82.19 kt Cu compared with earlier 659.8 kt. Ore intervals only twelve plus one conditional meet cut off criteria thickness at least 1 m Cu at least 0.2 percent and barren layers not more than 1 m. Economic interest is minimal due to low grade scattered mineralisation and requirement for underground mining. Region wide reassessment shows major overestimation in 1991 to 2008 studies. Licensing proposals exist but investment attractiveness is very low and geological risk is high.</t>
  </si>
  <si>
    <t>1 | Drilling and sampling confirm native-copper mineralisation occurs as small lenses and nests (some intervals meeting cut-offs), providing clear geological evidence despite the lack of persistent ore bodies. Data Quality: 1
Justification: Quantitative copper resource figures are reported numerically, including drilling based estimates, sample counts, cut off criteria, and revised P2 and P3 tonnages. The data are traceable, numerical, and can be interpreted in a CRIRSCO style framework, regardless of their low quality and poor economic outlook.
Classification Alignment: 1
Justification: Formal state style classification categories (P2 and P3) are explicitly reported. These provide a clear GKZ classification anchor that can be crosswalked, even though reassessment demonstrates severe overestimation, discontinuous mineralisation, and low investment attractiveness.</t>
  </si>
  <si>
    <t>Pivnichno-Ratnivskiy</t>
  </si>
  <si>
    <t xml:space="preserve"> 51°40'4.87"N</t>
  </si>
  <si>
    <t xml:space="preserve"> 24°29'7.77"E</t>
  </si>
  <si>
    <t>Pivnichno Ratnivskiy occurrence: NE of Zhyrychi on the NW border of the Girnytskiy Horst. Twenty six wells drilled total 8071.9 m with 835 samples; only 41 samples above 0.2 percent Cu equal to 4.9 percent. Exploration reported six horizons 1A 2A 2B 2B 3A 3B but primary data shows only horizon 2A has any economic potential. Recalculated prognostic resources P1 equal 6408 kt ore and 20.66 kt Cu which is far below economic thresholds; occurrence considered non viable.</t>
  </si>
  <si>
    <t>1 | Drilling identifies copper-bearing horizons (notably 2A) with measured ore and contained Cu figures, so the occurrence has confirmed in-ground mineralisation even if it is low grade and not viable. Data Quality: 1
Justification: Quantitative figures are reported numerically, including drilling metres, sample counts, ore tonnage and contained copper (P1: 6 408 kt ore and 20.66 kt Cu). The data are traceable and expressed in a way that can be translated into a CRIRSCO style framework, regardless of their low grade and poor economic outcome.
Classification Alignment: 1
Justification: A formal state style prognostic classification (P1) is explicitly reported. This provides a clear GKZ classification anchor that can be crosswalked, even though the reassessment concludes the occurrence is not economically viable.</t>
  </si>
  <si>
    <t>Ratnivske</t>
  </si>
  <si>
    <t xml:space="preserve"> 51°39'41.89"N</t>
  </si>
  <si>
    <t xml:space="preserve"> 24°33'7.77"E</t>
  </si>
  <si>
    <t>Ratnivske occurrence: NE of Zalisy Shmenky on the southern border of the Girnytskiy Horst; structural continuation with similar geology. Fifteen wells drilled; only seven contained Cu above 0.2 percent with only 15 such samples. Primary data shows no continuous Cu bodies; mineralisation occurs as small scattered lenses laterally and by dip and has no economic interest. Ratnivske phosphorite deposit discovered 1980 in Paleogene Obukhivska Suite and Quaternary sand gravel pebble rocks; 14 phosphorite bodies identified. Nodule content 6 to 80 percent; P2O5 in nodules 2.44 to 14.54 percent; P2O5 in ore 0.58 to 10.88 percent. Underlying rocks are chalk like marls and chalks of the Cretaceous Zdolbunivska Suite. Deposit suitable for open cast mining. Licensing approved for Postupelska site area 29 ha in SW part. Inventory reserves B plus C1 equal 4190.4 kt P2O5 in ore and 391.02 kt P2O5 in nodules; deposit not mined. Other promising phosphorite areas include Volyn sites Poliska Stakhoshynska Pivnevska Tanyushivska Novoburlutska Bantyshevska Zalimanivska with 335 Mt P2O5 prognostic; Krolevetska with 2.93 Mt P2O5; Seredyno Budska; plus Kanivska Pobyzhya and DDD margins with over 100 Mt P2O5 and Kanivska and Kyivska Suite sites Konyatynska Latyshevska Myropilska up to 600 Mt P2O5 prognostic.</t>
  </si>
  <si>
    <t>1 | Drilling and sample exceedances above cut-off indicate copper mineralisation is present as scattered lenses with no continuity, which still constitutes geological evidence of in-ground mineralisation. Data Quality: 0
Justification: No quantitative copper resource or ore tonnage is reported. Information is limited to drill counts and sample exceedances above cut off, with mineralisation described as scattered lenses without continuity. These data cannot be translated into a CRIRSCO style quantitative framework.
Classification Alignment: 0
Justification: No GKZ, UNFC, or state reserve or resource categories are reported for copper. The occurrence is explicitly described as non economic, with no formal classification anchor for copper mineralisation.</t>
  </si>
  <si>
    <t>Teklya</t>
  </si>
  <si>
    <t xml:space="preserve"> 51°32'6.97"N</t>
  </si>
  <si>
    <t xml:space="preserve"> 24°27'8.01"E</t>
  </si>
  <si>
    <t>Teklya occurrence: South of Zhyrychi cluster in the Teklinske uplift at the intersection of the Minsko Vyzhivska and Zabolotivsko Buzka fault zones. Geological section includes Kanylivska Ratnivska Babynska Zabolotiska Gorbashivska Suites plus Jurassic Cretaceous and Quaternary rocks. Copper linked to horizons 3A and 3B of the Ratnivska Suite. Five wells drilled total 1985.0 m; 242 samples taken; only 5 samples above 0.2 percent Cu equal to 2.1 percent. Economic Cu only in well 5659 with two intervals in horizon 3A: 0.27 percent Cu over 3.0 m at 323.0 to 326.0 m and 0.25 percent Cu over 2.4 m at 349.0 to 351.4 m. Adjacent wells 5568 4540 5519 4511 contain no productive intervals. Continuity absent and prospects minimal; occurrence not viable for copper mining.</t>
  </si>
  <si>
    <t>1 | Logged drill intercepts (for example 0.27% Cu over 3.0 m and 0.25% Cu over 2.4 m) confirm copper mineralisation in the subsurface, even though it is isolated and non-viable. Data Quality: 0
Justification: Although a few individual assay intervals are reported numerically, there is no tonnage estimate, no resource scale grade reporting, and no continuity that would allow translation into a CRIRSCO style framework. The data remain drill intercept level only.
Classification Alignment: 0
Justification: No GKZ, UNFC, or state reserve or resource categories are reported. The occurrence is explicitly described as non viable, with no formal classification anchor for copper mineralisation.</t>
  </si>
  <si>
    <t>Pivdenno-Rafalivskiy</t>
  </si>
  <si>
    <t xml:space="preserve"> 51°17'5.71"N</t>
  </si>
  <si>
    <t xml:space="preserve"> 26° 0'16.56"E</t>
  </si>
  <si>
    <t>Mykhailov, V. A., Malyuk, B., Kovalenko, N., Bertrand, G., de Oliveira, D., Wittenberg, A., Wellmer, F.-W., Horwath, Z., Hollis, J., Wall, P., &amp; Quijano Gaudes, L. (2023). Strategic minerals of Ukraine and their investment attractiveness.
Mykhailov, V., Andreeva, O., &amp; Sydorchuk, V. (2025). Investment attractiveness of the main copper occurrences of the Volyn ore region. Paper presented at Monitoring’2025, XVIII International Scientific Conference “Monitoring of Geological Processes and Ecological Condition of the Environment”, Kyiv, Ukraine, 14–17 April 2025. DOI: https://doi.org/10.3997/2214-4609.2025510162
High copper test 2021. (2021, August 9). Who wants to pay more than 122 million for Zalisy Shmenky? https://nadra.info/2021/08/high-copper-test-who-wants-to-pay-more-than-122-million-for-zalisy-shmenky
Sazonets I., &amp; Malanchuk L. (2015). A substantiation of economic feasibility of the development of copper deposits in Rivne-Volyn Regions. International Journal of New Economics and Social Sciences, 2, 116-120.
Melnychuk, V. G., Polishchuk, A. M., &amp; Melnychuk, G. V. (2011). Mineralogical features and mineralization of the Lower Vendian trappean complexes of the southwestern part of the East European Platform. Mineralogical Journal, 33 (4), 91–100 [in Ukrainian].
Emetz, A. V., Zagnitko, V. M., &amp; Prykhod'ko, V. L. (2005). Mineral compositions and genesis of the ore bodies of the Zhyrychi Cu deposit (North- Western Ukraine). Mineralogical Journal (Ukrainian), 27, 1 (143), 77–91. http://mineraljournal.org.ua/sites/default/files/sites/default/files/1_2005%201 08%20s.pdf</t>
  </si>
  <si>
    <t>Pivdenno-Rafalivskiy occurrence: Located in Rivne Oblast Vladymirets district in the southern Rafalivska area within Manevytska metallogenic zone. Area size approx 206.3 km2. Hosted in Babynska Ratnivska and Chartoriyska Vendian suites overlain by Cretaceous Paleogene Quaternary. Ore horizons identified: 3A1 3A2 3A3 2B V2cr2 V1br. Drilling: 286 wells totalling 23,012 m with 10,842 core samples; only 70 samples (0.6 percent) contain Cu ≥0.2 percent. Quarry: 561 samples with 21 above cutoff (3.7 percent). Overall conditional Cu samples extremely low (~0.5–0.6 percent in Rafalivska area). Mineralisation: sporadic isolated lenses and nests at various stratigraphic levels; no continuous ore bodies. Historic C2=161.17 kt Cu and P1=512.79 kt Cu based solely on neutron activation logging (436 boreholes, 42,121.2 m) using artificial formula y=2.1623x+0.1465 leading to inflated Cu values; chemical analyses ignored. Re-evaluation of all intervals shows only small lensoid ore bodies. Revised prospective resources P1=30.02 kt Cu (strict cutoff) or P1≈3.8 kt Cu (investment attractiveness study). No basis for P2 or P3 resources; all analogy-based P3 resources for regional ore fields must be excluded. Economic viability negative due to deep, discontinuous, low-grade, low-volume mineralisation and extremely low proportion of ore-grade samples. Nuclear power plant within 2km range.</t>
  </si>
  <si>
    <t>1 | Extensive drilling and core sampling document sporadic copper mineralisation as isolated lenses and nests across multiple horizons, providing strong geological evidence even though ore-grade samples are rare. Data Quality: 1
Justification: Quantitative data are reported numerically, including drilling metres, sample counts, historical and revised copper tonnages (C2 and P1), and clearly documented reassessments. Even though earlier estimates are shown to be methodologically flawed and later reduced dramatically, the data are traceable, numerical, and translatable in a CRIRSCO style sense.
Classification Alignment: 1
Justification: Formal state style classifications (C2 and P1) are explicitly reported, even if later invalidated or downgraded. The existence of these GKZ categories provides a clear classification anchor that can be crosswalked, independent of correctness or economic viability.</t>
  </si>
  <si>
    <t>Komarivske</t>
  </si>
  <si>
    <t xml:space="preserve"> 51°10'19.52"N</t>
  </si>
  <si>
    <t xml:space="preserve"> 25°44'51.38"E</t>
  </si>
  <si>
    <t>Komarivske ore field: Part of Manevytska metallogenic area of the Volyn copper region. Historic P3 resources 2202 kt Cu based on analogy method using Pivdenno Rafalivskiy with similarity coefficient 0.6. Modern recalculation assigns only P3=23.74 kt Cu and rejects all P2 and P3 resources due to lack of drilling data, absence of continuous ore bodies, and no confirmed mineralised horizons. All Komarivske resources considered unsubstantiated; economic potential is zero.</t>
  </si>
  <si>
    <t>0 | The entry explicitly relies on analogy-based historical estimates and states there is no drilling support or confirmed continuous ore bodies, so geological evidence for in-ground copper mineralisation is not demonstrated. Data Quality: 0
Justification: Although historical and recalculated figures are mentioned, the remaining values are explicitly rejected as unsubstantiated and are based on analogy rather than drilling supported tonnage and grade. There is no defensible, translatable tonnage and grade dataset that could be carried into a CRIRSCO style framework. When in doubt, this scores No.
Classification Alignment: 1
Justification: Formal state style classification terminology (P3) is explicitly referenced, even though the resources are later rejected. The existence of a GKZ style classification anchor is sufficient for this column, independent of correctness or economic relevance.</t>
  </si>
  <si>
    <t>Chudlynske</t>
  </si>
  <si>
    <t xml:space="preserve"> 50°52'15.54"N</t>
  </si>
  <si>
    <t xml:space="preserve"> 26° 9'22.20"E</t>
  </si>
  <si>
    <t>Chudlynske: Located in Volyn Oblast Manevychi district within the Manevytska metallogenic area near Chudly. Soviet-era assessment assigned P2=460 kt ore by analogy with no drilling support. Modern re-evaluation excludes all P2 and P3 resources due to lack of confirmed ore bodies or Cu horizons. No drilling data, no samples, no continuous mineralisation. Valid copper resources equal zero. Occurrence has no economic potential. Approximate location 51.025 N 25.720 E.</t>
  </si>
  <si>
    <t>0 | The only figures cited are analogy-based and later excluded, with no drilling, sampling, or confirmed mineralised horizons, so there is no substantiated geological evidence of in-ground copper mineralisation.  Data Quality: 0
Justification: No defensible quantitative tonnage and grade data exist. The only figures mentioned are Soviet era analogy based estimates without drilling, sampling, or geological support, and these are explicitly excluded by later reassessment. The data cannot be translated into a CRIRSCO style framework. When in doubt, this scores No.
Classification Alignment: 1
Justification: Formal state style classification terminology (P2, P3) is explicitly referenced, even though all such resources are later rejected. The mere existence of a GKZ style classification anchor is sufficient for this column, independent of correctness or economic value.</t>
  </si>
  <si>
    <t>Lyshnivske</t>
  </si>
  <si>
    <t xml:space="preserve"> 51°28'26.78"N</t>
  </si>
  <si>
    <t xml:space="preserve"> 25°24'17.48"E</t>
  </si>
  <si>
    <t>Lyshnivske: Located in Volyn Oblast Manevychi district within the Manevytska metallogenic area. Historic Soviet P2 resource 166.68 kt ore assigned by analogy without drilling. Modern reassessment states no confirmed Cu mineralisation or ore horizons and all P2–P3 resources must be excluded. Valid Cu resources zero and occurrence has no economic potential.</t>
  </si>
  <si>
    <t>0 | The occurrence is described as having no confirmed copper mineralisation or ore horizons and all analogy-based resources are excluded, so geological evidence is not demonstrated. Data Quality: 0
Justification: No quantitative tonnage and grade data supported by drilling or sampling exist. The only figures cited are Soviet era analogy based estimates that are explicitly rejected by later reassessment. There is no translatable dataset compatible with a CRIRSCO style framework. When in doubt, this scores No.
Classification Alignment: 1
Justification: Formal state style classification terminology (P2 and P3) is explicitly referenced, even though all such resources are later excluded. The existence of a GKZ style classification anchor is sufficient for this column, independent of validity or economic relevance.</t>
  </si>
  <si>
    <t>Telcha</t>
  </si>
  <si>
    <t xml:space="preserve"> 51° 8'31.49"N</t>
  </si>
  <si>
    <t xml:space="preserve"> 25°54'29.46"E</t>
  </si>
  <si>
    <t>Telcha: Located in Volyn Oblast Manevychi district within the Manevytska metallogenic area. Historic Soviet P2 resource 47.96 kt ore assigned by analogy without drilling or sampling. Modern reassessment rejects all P2 and P3 resources; no confirmed Cu mineralisation or ore horizons. Valid Cu resources zero and Telcha has no economic potential.</t>
  </si>
  <si>
    <t>0 | The site is only supported by an analogy-based P2 estimate that is later rejected, with no drilling or sampling evidence presented, so geological evidence is not demonstrated. Data Quality: 0
Justification: No quantitative tonnage and grade data supported by drilling or sampling exist. The only figure cited is a Soviet era analogy based P2 estimate that is explicitly rejected by later reassessment. There is no translatable dataset compatible with a CRIRSCO style framework. When in doubt, this scores No.
Classification Alignment: 1
Justification: Formal state style classification terminology (P2 and P3) is explicitly referenced, even though all such resources are later excluded. The existence of a GKZ style classification anchor is sufficient for this column, independent of validity or economic relevance.</t>
  </si>
  <si>
    <t>Velyko-Midska</t>
  </si>
  <si>
    <t xml:space="preserve"> 51° 4'55.08"N</t>
  </si>
  <si>
    <t xml:space="preserve"> 26° 8'42.77"E</t>
  </si>
  <si>
    <t>Velyko-Midska: Located in Rivne Oblast Manevytska metallogenic area. Historic Soviet P2 resource 114.81 kt ore assigned by analogy without drilling. Modern reassessment excludes all P2–P3 resources; no confirmed Cu horizons, sampling, or mineralisation. Valid Cu resources zero and Velyko-Midska has no economic potential.</t>
  </si>
  <si>
    <t>Berestyanskiy</t>
  </si>
  <si>
    <t>Stratiform sediment-hosted</t>
  </si>
  <si>
    <t xml:space="preserve"> 48°34'37.35"N</t>
  </si>
  <si>
    <t xml:space="preserve"> 38° 4'57.15"E</t>
  </si>
  <si>
    <t>Berestyanskiy: Golubivsko–Maryivska Syncline; Kartamyshska Suite; horizons at 855 m depth, 0.3–2.0 m thick (avg 0.6 m); lenticular and sheeted bodies in siltstones, clays, sandstones, dolomite limestones. Minerals: chalcocite, bornite, chalcopyrite, minor covellite cuprite native Cu; associated galena sphalerite greenockite pyrite acanthite malachite azurite limonite. Textures disseminated, bunch, vein, substitution. Grades Cu 0.5–1.7 percent Pb 0.1–1.2 percent Zn 0.1–1.2 percent with Ni Ga Ag Re Au. Estimated Cu resources 1.7 Mt. Mining possible by open pit or underground with leaching and biotechnological methods.</t>
  </si>
  <si>
    <t>1 | Stratiform, sediment-hosted copper sulphide mineralisation is described with specific host strata, depths, thicknesses, ore textures, and ore minerals, providing clear geological evidence of in-ground mineralisation. Data Quality: 1
Justification: Quantitative data are reported numerically, including ore thickness, depth, copper grades (0.5–1.7 percent), associated metals, and an estimated copper resource of 1.7 Mt. These figures are traceable and expressed in a way that can be translated into a CRIRSCO style framework, irrespective of their age or uncertainty.
Classification Alignment: 0
Justification: No GKZ, UNFC, or formal state reserve or resource categories (such as A, B, C1, C2, P1, P2) are explicitly reported. Although an estimated resource figure is given, it is not tied to a recognised classification anchor, so this column scores No.</t>
  </si>
  <si>
    <t>Gladosivskiy</t>
  </si>
  <si>
    <t xml:space="preserve"> 48°34'18.62"N</t>
  </si>
  <si>
    <t xml:space="preserve"> 38° 7'30.60"E</t>
  </si>
  <si>
    <t>Mykhailov, V. A., Malyuk, B., Kovalenko, N., Bertrand, G., de Oliveira, D., Wittenberg, A., Wellmer, F.-W., Horwath, Z., Hollis, J., Wall, P., &amp; Quijano Gaudes, L. (2023). Strategic minerals of Ukraine and their investment attractiveness. 
Lozhnikov, O., Pavlychenko, A., Shustov, O., &amp; Dereviahina, N. (2025). Prospects for the development of copper ore deposits in Ukraine. IOP Conference Series: Earth and Environmental Science, 1457, 012003. https://doi.org/10.1088/1755-1315/1457/1/012003</t>
  </si>
  <si>
    <t>Gladosivskiy: Stratiform sediment-hosted Cu sandstone occurrence in the Bakhmut Basin (Donbas, Lower Permian red beds). Predictive Cu resources 0.82 Mt at up to 1.2% Cu. Part of Berestyanskiy–Gladosivskiy–Ivangradskiy group with Ag Ga Ge Pt by-products. Considered promising.</t>
  </si>
  <si>
    <t>1 | The stratiform sandstone-hosted copper occurrence is explicitly described as part of a known group with reported grades and predictive resources, indicating confirmed mineralisation in the geological setting. Data Quality: 1
Justification: Quantitative figures are reported numerically, including predictive copper resources (0.82 Mt) and grades up to 1.2 percent Cu. The values are traceable to published sources and can be translated into a CRIRSCO style framework, even though they are predictive and not supported by modern QAQC.
Classification Alignment: 0
Justification: No GKZ, UNFC, or formal state reserve or resource categories are explicitly reported. The term “predictive resources” is used without a recognised classification anchor that could be crosswalked to PERC categories.</t>
  </si>
  <si>
    <t>Ivangradskiy</t>
  </si>
  <si>
    <t xml:space="preserve"> 48°33'38.74"N</t>
  </si>
  <si>
    <t xml:space="preserve"> 38° 2'36.57"E</t>
  </si>
  <si>
    <t>Mykhailov, V. A., Malyuk, B., Kovalenko, N., Bertrand, G., de Oliveira, D., Wittenberg, A., Wellmer, F.-W., Horwath, Z., Hollis, J., Wall, P., &amp; Quijano Gaudes, L. (2023). Strategic minerals of Ukraine and their investment attractiveness. 
Lozhnikov, O., Pavlychenko, A., Shustov, O., &amp; Dereviahina, N. (2025). Prospects for the development of copper ore deposits in Ukraine. IOP Conference Series: Earth and Environmental Science, 1457, 012003. https://doi.org/10.1088/1755-1315/1457/1/012004</t>
  </si>
  <si>
    <t>Ivangradskiy: Stratiform sediment-hosted Cu deposit in the Bakhmut Basin (Donbas, Lower Permian red beds). Predictive resources 1.06 Mt Cu with 1.07–1.4% Cu. Part of the Berestyanskiy–Gladosivskiy–Ivangradskiy group with Ag Ga Ge Pt by-products. Considered promising for development.</t>
  </si>
  <si>
    <t>1 | The stratiform sediment-hosted copper site is described with grades and predictive resources and is grouped with analogous occurrences, providing clear evidence of in-ground mineralisation. Data Quality: 1
Justification: Quantitative figures are reported numerically, including predictive copper resources (1.06 Mt Cu) and grades (1.07–1.4 percent Cu). The data are traceable to published sources and can be translated into a CRIRSCO style framework, even though they are predictive and not supported by modern QAQC.
Classification Alignment: 0
Justification: No GKZ, UNFC, or formal state reserve or resource categories are explicitly reported. The use of “predictive resources” does not constitute a recognised classification anchor that can be crosswalked to PERC categories.</t>
  </si>
  <si>
    <t>Pokrovskiy</t>
  </si>
  <si>
    <t xml:space="preserve"> 48°38'37.31"N</t>
  </si>
  <si>
    <t xml:space="preserve"> 38° 7'46.21"E</t>
  </si>
  <si>
    <t>Mykhailov, V. A., Malyuk, B., Kovalenko, N., Bertrand, G., de Oliveira, D., Wittenberg, A., Wellmer, F.-W., Horwath, Z., Hollis, J., Wall, P., &amp; Quijano Gaudes, L. (2023). Strategic minerals of Ukraine and their investment attractiveness. 
Lozhnikov, O., Pavlychenko, A., Shustov, O., &amp; Dereviahina, N. (2025). Prospects for the development of copper ore deposits in Ukraine. IOP Conference Series: Earth and Environmental Science, 1457, 012003. https://doi.org/10.1088/1755-1315/1457/1/012005</t>
  </si>
  <si>
    <t>Pokrovskiy: Stratiform sediment-hosted Cu occurrence in the Permian red-bed sequences of the Bakhmut Basin (Donbas). Listed together with Berestyanskiy Gladosivskiy Ivangradskiy Gurtynskiy as a small stratiform Cu–sulfide occurrence of limited scale. No resource estimates or grades provided.</t>
  </si>
  <si>
    <t>1 | Even though no grades or tonnages are provided, it is identified as a stratiform sediment-hosted copper sulphide occurrence in Permian red beds, which constitutes basic geological evidence of mineralisation. Data Quality: 0
Justification: No quantitative tonnage or grade data are reported. The occurrence is described only qualitatively as small and of limited scale, without numerical values that could be translated into a CRIRSCO style framework.
Classification Alignment: 0
Justification: No GKZ, UNFC, or formal state reserve or resource categories are reported. The site is treated purely as an occurrence with no classification anchor.</t>
  </si>
  <si>
    <t>Gurtynskiy</t>
  </si>
  <si>
    <t xml:space="preserve"> 48°35'10.39"N</t>
  </si>
  <si>
    <t xml:space="preserve"> 38° 5'22.71"E</t>
  </si>
  <si>
    <t>Mykhailov, V. A., Malyuk, B., Kovalenko, N., Bertrand, G., de Oliveira, D., Wittenberg, A., Wellmer, F.-W., Horwath, Z., Hollis, J., Wall, P., &amp; Quijano Gaudes, L. (2023). Strategic minerals of Ukraine and their investment attractiveness. 
Lozhnikov, O., Pavlychenko, A., Shustov, O., &amp; Dereviahina, N. (2025). Prospects for the development of copper ore deposits in Ukraine. IOP Conference Series: Earth and Environmental Science, 1457, 012003. https://doi.org/10.1088/1755-1315/1457/1/012006</t>
  </si>
  <si>
    <t>Gurtynskiy: Stratiform sediment-hosted Cu occurrence in the Permian red-bed sequences of the Bakhmut Basin (Donbas). Included in the Berestyanskiy–Gladosivskiy–Ivangradskiy–Pokrovskiy group of minor Cu–sulfide occurrences. Document states such deposits are small and low-grade and do not constitute promising copper resources. No grades or tonnage estimates provided.</t>
  </si>
  <si>
    <t>1 | Even though no grades or tonnages are provided, it is identified as a stratiform sediment-hosted copper sulphide occurrence in Permian red beds, which constitutes basic geological evidence of mineralisation. Data Quality: 0
Justification: No quantitative tonnage or grade data are reported. The occurrence is described only qualitatively as small and low grade, without numerical values that could be translated into a CRIRSCO style framework.
Classification Alignment: 0
Justification: No GKZ, UNFC, or formal state reserve or resource categories are reported. The site is explicitly treated as a minor occurrence with no classification anchor.</t>
  </si>
  <si>
    <t>Krutobalkinskiy</t>
  </si>
  <si>
    <t>Sulphide and polymetallic</t>
  </si>
  <si>
    <t xml:space="preserve"> 48°10'5.72"N</t>
  </si>
  <si>
    <t xml:space="preserve"> 34° 2'14.50"E</t>
  </si>
  <si>
    <t>Krutobalkinskiy: Copper sulphide occurrence in the Verkhivtsivska greenstone structure. Mineralization confined to a steeply dipping zone 200–250 m wide with several subparallel ore bodies. Ore bodies 0.2–9 m thick, 200–800 m long; main ore body averages 3.4 m thickness with 0.86 percent Cu, traced 800 m along strike and 250 m down dip. Overall Cu grades 0.5–3.3 percent. Prognostic resources P1 estimated at 23 kt Cu.</t>
  </si>
  <si>
    <t>1 | The sulphide occurrence is described with defined ore-zone geometry, ore-body dimensions, and copper grades, confirming in-ground copper mineralisation. Data Quality: 1
Justification: Quantitative data are reported numerically, including ore body dimensions, thicknesses, copper grades (0.5–3.3 percent Cu), and a prognostic copper resource estimate (P1 = 23 kt Cu). These data are traceable and can be translated into a CRIRSCO style framework, irrespective of scale or economic significance.
Classification Alignment: 1
Justification: A formal state style prognostic classification (P1) is explicitly reported. This provides a clear GKZ classification anchor that can reasonably be crosswalked to a PERC resource category.</t>
  </si>
  <si>
    <t>Polonske</t>
  </si>
  <si>
    <t xml:space="preserve"> 47°56'7.95"N</t>
  </si>
  <si>
    <t xml:space="preserve"> 24° 9'6.33"E</t>
  </si>
  <si>
    <t>Polonske: Massive chalcopyrite–pyrite copper sulphide occurrence in the Dilovetskiy area of the Rakhivskiy Massif. Mineralization confined to quartzites (metariolites) and quartz-chlorite-sericite schists of the Dilovetska Suite. Mineralized zones traced for tens of metres with thickness up to 38 m; ore bodies average 3 m thick. Grades (Table 4.40): Cu up to 3.2 percent (typical 0.6–0.82 percent), Pb 0.42 percent, Zn 0.33 percent, Mo up to 0.12 percent, Ag up to 138 g/t, Au ~1 g/t.</t>
  </si>
  <si>
    <t>1 | Massive chalcopyrite-pyrite mineralisation is described within specific host lithologies and mineralised zone thicknesses, providing clear geological evidence of in-ground copper sulphide mineralisation. Data Quality: 1
Justification: Quantitative grade data are reported numerically for multiple metals, including copper (up to 3.2 percent, typical 0.6–0.82 percent), as well as Pb, Zn, Mo, Ag, and Au. Ore body thicknesses are also described. These data are traceable and can be translated into a CRIRSCO style framework, even though no tonnage estimate is provided.
Classification Alignment: 0
Justification: No GKZ, UNFC, or formal state reserve or resource categories (A, B, C1, C2, P1, etc.) are explicitly reported. Despite detailed grade information, there is no recognised classification anchor that can be crosswalked to PERC categories.</t>
  </si>
  <si>
    <t>Pip Ivan</t>
  </si>
  <si>
    <t xml:space="preserve"> 47°55'24.94"N</t>
  </si>
  <si>
    <t xml:space="preserve"> 24°19'40.66"E</t>
  </si>
  <si>
    <t>Mykhailov, V. A., Malyuk, B., Kovalenko, N., Bertrand, G., de Oliveira, D., Wittenberg, A., Wellmer, F.-W., Horwath, Z., Hollis, J., Wall, P., &amp; Quijano Gaudes, L. (2023). Strategic minerals of Ukraine and their investment attractiveness. 
Lozhnikov, O., Pavlychenko, A., Shustov, O., &amp; Dereviahina, N. (2025). Prospects for the development of copper ore deposits in Ukraine. IOP Conference Series: Earth and Environmental Science, 1457, 012003. https://doi.org/10.1088/1755-1315/1457/1/012007</t>
  </si>
  <si>
    <t>Pip Ivan: Massive chalcopyrite–pyrite copper sulphide occurrence of the Dilovetskiy area, Rakhivskiy Massif. Hosted in quartzites (metariolites) and quartz–chlorite–sericite schists of the Dilovetska Suite. Mineralized zones extend tens of metres with up to 38 m thickness; ore bodies about 3 m thick. Metal grades identical to the Dilovetskiy suite values: Cu up to 3.2 percent (commonly 0.6–0.82 percent), Pb 0.42 percent, Zn 0.33 percent, Mo up to 0.12 percent, Ag up to 138 g/t, Au about 1 g/t.</t>
  </si>
  <si>
    <t>1 | Massive chalcopyrite-pyrite mineralisation is described within specific host lithologies and mineralised zone thicknesses, providing clear geological evidence of in-ground copper sulphide mineralisation. Data Quality: 1
Justification: Quantitative grade data are reported numerically for copper and associated metals, and ore body thicknesses are described. These data are traceable and can be translated into a CRIRSCO style framework, even though no tonnage or resource estimate is provided.
Classification Alignment: 0
Justification: No GKZ, UNFC, or formal state reserve or resource categories are explicitly reported. Despite detailed grade information, there is no recognised classification anchor that can be crosswalked to a PERC category.</t>
  </si>
  <si>
    <t>Gavryshchuk</t>
  </si>
  <si>
    <t xml:space="preserve"> 48° 6'8.24"N x</t>
  </si>
  <si>
    <t xml:space="preserve"> 24°13'29.44"E x</t>
  </si>
  <si>
    <t>Mykhailov, V. A., Malyuk, B., Kovalenko, N., Bertrand, G., de Oliveira, D., Wittenberg, A., Wellmer, F.-W., Horwath, Z., Hollis, J., Wall, P., &amp; Quijano Gaudes, L. (2023). Strategic minerals of Ukraine and their investment attractiveness. 
Lozhnikov, O., Pavlychenko, A., Shustov, O., &amp; Dereviahina, N. (2025). Prospects for the development of copper ore deposits in Ukraine. IOP Conference Series: Earth and Environmental Science, 1457, 012003. https://doi.org/10.1088/1755-1315/1457/1/012008</t>
  </si>
  <si>
    <t>Gavryshchuk: Massive copper sulphide (chalcopyrite–pyrite) occurrence in the Dilovetskiy area of the Rakhivskiy Massif. Confined to quartzites and quartz–chlorite–sericite schists of the Dilovetska Suite. Mineralized zones traced for tens of metres, thickness up to 38 m, ore bodies approx. 3 m thick. Metal grades following Table 4.40: Cu up to 3.2 percent (typical 0.6–0.82 percent), Pb 0.42 percent, Zn 0.33 percent, Mo up to 0.12 percent, Ag to 138 g/t, Au ~1 g/t.</t>
  </si>
  <si>
    <t>1 | Massive chalcopyrite-pyrite mineralisation is described within specific host lithologies and mineralised zone thicknesses, providing clear geological evidence of in-ground copper sulphide mineralisation. Data Quality: 1
Justification: Quantitative grade data are reported numerically for copper and associated metals, and ore body thicknesses and extents are described. These data are traceable and can be translated into a CRIRSCO style framework, even though no tonnage or resource estimate is provided.
Classification Alignment: 0
Justification: No GKZ, UNFC, or formal state reserve or resource categories are explicitly reported. Despite detailed grade information, there is no recognised classification anchor that can be crosswalked to a PERC category.</t>
  </si>
  <si>
    <t>Prutivske</t>
  </si>
  <si>
    <t>Copper-nickel</t>
  </si>
  <si>
    <t>Prutivske: Cu–Ni sulphide occurrence in the Volyn megablock, Krasnohirsko–Zhytomyrska Zone, hosted in the Paleoproterozoic Prutivska Intrusion. Body 1000–1500 m wide, 130–160 m thick, traced 3 km. Ore zones 3–15.1 m thick with 3–20 percent sulphides. Grades: Ni 0.58 percent, Cu 0.26 percent, Co 0.022 percent. Chalcopyrite–pentlandite–pyrrhotite assemblages. Not economically viable for copper. Prutivskiy (Prutivka) is a Proterozoic Cu–Ni–Co sulphide occurrence with minor PGE enrichment located in Romaniv District, Zhytomyr Oblast, within the Buky basic-ultrabasic massif of the northwestern Ukrainian Shield (approx. 50.51–50.52 N, 28.05–28.10 E). Mineralisation is hosted by a sill-like gabbro–dolerite intrusion of the Prutivka complex surrounded by biotite-amphibole gneisses and plagiomigmatites. Sulphides occur in the endo- and exocontact zones as pyrrhotite, pentlandite, chalcopyrite, cubanite, pyrite and violarite forming disseminations, interstitial aggregates, nets, and local massive zones. Drill-supported 3D geological and resource models define continuous Ni-Cu-Co mineralisation down to 600 m depth. Resources at 0 to 1.5 percent Ni-equivalent cut-off range from 56.3 Mt at 0.45 percent NiEq to 0.05 Mt at 1.66 percent NiEq, with Ni, Cu and Co grade-tonnage curves showing increasing average grade toward higher cut-offs. The intrusion is 1.5 km long with well-defined structural controls and multiple confirmed mineralised intercepts from historical and modern drilling (PR-21 series). Petrography shows pentlandite intergrown with pyrrhotite and chalcopyrite with local late-stage sulphide replacement. The licensed exploration area covers 15 km² (Special Permit No. 4925, 2019) with defined corner coordinates at 50°19′10 N 28°03′06 E; 50°20′37 N 28°08′03 E; 50°18′50 N 28°06′55 E; 50°18′31 N 28°05′19 E. Logistics include year-round road access, proximity to rail, power and gas infrastructure. Although rich in Cu–Ni–Co, PGE grades (Pt, Pd, Ir, Os, Ru) are minor and irregular. Classification: advanced sulphide occurrence with significant defined NiEq resources but not yet an economic deposit under international codes (JORC/NI-43-101 pending).</t>
  </si>
  <si>
    <t>1 | Drill-supported sulphide Cu-Ni-Co mineralisation is described with intrusion geometry, ore-zone thicknesses, grades, and modelled resources, providing strong geological evidence even if copper economics are weak. Data Quality: 1
Justification: Quantitative tonnage and grade data are reported numerically, including detailed Ni, Cu, and Co grades, ore zone thicknesses, geometry, and drill supported resource estimates expressed as Ni equivalent with grade tonnage relationships. The data are traceable to a state geological economic evaluation and peer reviewed sources and are clearly translatable into a CRIRSCO style framework, regardless of economic conclusions.
Classification Alignment: 1
Justification: A formal state approved geological economic evaluation exists, and the occurrence is treated as an advanced sulphide occurrence with defined resources supported by drilling. This provides a clear GKZ style classification anchor that can reasonably be crosswalked to a PERC resource category, even though international code compliance is pending.</t>
  </si>
  <si>
    <t>Zheleznyaki</t>
  </si>
  <si>
    <t xml:space="preserve"> 50°42'13.99"N x</t>
  </si>
  <si>
    <t xml:space="preserve"> 28°41'25.58"E x</t>
  </si>
  <si>
    <t>Zheleznyaki: Cu–Ni–Co sulphide occurrence in Zhytomyr region, confined to a 1.0×1.8 km funnel-shaped mafic–ultramafic intrusion of the Bukinskiy Complex. Two ore intervals 3.5 m and 2.0 m thick (total 5.5 m). Grades: Ni 0.66 percent, Cu 0.063 percent, Co 0.013 percent. P3 resources: Ni 150.9 kt, Cu 14.4 kt, Co 3.0 kt. Very small and extremely low copper grade; not economically viable.</t>
  </si>
  <si>
    <t>1 | The funnel-shaped intrusion and sulphide intervals with reported grades and contained metals confirm in-ground Cu-Ni-Co mineralisation, providing clear geological evidence despite very low Cu grade. Data Quality: 1
Justification: Quantitative data are reported numerically, including ore interval thicknesses, metal grades (Ni, Cu, Co), and contained metal figures. These values are traceable and can be translated into a CRIRSCO style framework, regardless of the very low copper grade and lack of economic viability.
Classification Alignment: 1
Justification: A formal state style prognostic classification (P3) is explicitly reported for Ni, Cu, and Co. This provides a clear GKZ classification anchor that can be crosswalked to a PERC resource category, independent of scale or economic relevance.</t>
  </si>
  <si>
    <t>Konstyantynivskiy</t>
  </si>
  <si>
    <t>Technogenic copper resources</t>
  </si>
  <si>
    <t xml:space="preserve"> 48°31'10.75"N</t>
  </si>
  <si>
    <t xml:space="preserve"> 37°42'4.75"E</t>
  </si>
  <si>
    <t>Konstyantynivskiy (Kostiantynivka, Donetsk Oblast; 48.514 N, 37.706 E) – technogenic Cu–Zn–Pb accumulation at former Ukrzinc plant; waste grades: Cu 1.2% (8 kt), Zn 3.8% (24 kt), Pb 1.5% (10 kt); suitable for heap leaching; high economic extraction potential (50–70% profitability).</t>
  </si>
  <si>
    <t>1 | A defined technogenic Cu-Zn-Pb waste accumulation with reported grades and contained metal tonnages provides clear physical evidence of extractable copper-bearing material, even though it is not a primary geological orebody. Data Quality: 1
Justification: Quantitative data are reported numerically, including waste grades and contained metal tonnages for Cu, Zn, and Pb. The figures are traceable and expressed in a way that can be translated into a CRIRSCO style quantitative framework, even though the material is technogenic rather than primary geological ore.
Classification Alignment: 0
Justification: No GKZ, UNFC, or formal state reserve or resource categories are reported. Despite the presence of tonnage and grade figures and economic commentary, there is no recognised classification anchor that can be crosswalked to a PERC resource category.</t>
  </si>
  <si>
    <t>Boron/Borate</t>
  </si>
  <si>
    <t xml:space="preserve">Bulganatske </t>
  </si>
  <si>
    <t>Mud-volcano fluid</t>
  </si>
  <si>
    <t xml:space="preserve"> 45°25'28.02"N</t>
  </si>
  <si>
    <t xml:space="preserve"> 36°28'39.85"E</t>
  </si>
  <si>
    <t>Sokol, E. V., Kokh, S. N., Kozmenko, O. A., Lavrushin, V. Y., Belogub, E. V., Khvorov, P. V., &amp; Kikvadze, O. E. (2019). Boron in an onshore mud volcanic environment: Case study from the Kerch Peninsula, the Caucasus continental collision zone. Chemical Geology, 525, 58–81. https://doi.org/10.1016/j.chemgeo.2019.07.018
Sokol, E. V., Kokh, S. N., Kozmenko, O. A., Novikova, S. A., Khvorov, P. V., Nigmatulina, E. A., Belogub, E. V., &amp; Kirillov, M. V. (2018). Mineralogy and geochemistry of mud volcanic ejecta: A new look at old issues (A case study from the Bulganak field, Northern Black Sea). Minerals, 8(8), 344. https://doi.org/10.3390/min8080344
Lavrushin, V. Y., Aydarkozhina, A. S., Sokol, E. V., Chelnokov, G. A., &amp; Petrov, O. L. (2025). δ11B in mud volcanic waters of the Kerch–Taman mud–volcanic area (Crimea–Caucasus region): Genesis and formation conditions of the boron mineralization. Lithology and Mineral Resources, 60(5), 527–552. https://doi.org/10.1134/S0024490225700191
Gulov, A., Yeremenko, G., &amp; colleagues. (n.d.). Boron mineralization of the Kerch Peninsula. Institute of Geological Sciences, National Academy of Sciences of Ukraine. (PDF you uploaded)
Popov, N. (1930). Bulganak borate deposit and associated mineralization. Proceedings of the Geological Committee. (Referenced in your documents)
Popov, N. (1938). Geology of the mud volcano region of Kerch and borate formation. Transactions of the Crimean Geological Survey. (Referenced in your documents)
Shnyukov, E. F., Lebedev, Y. S., &amp; Zaitsev, V. P. (1986). Geology and mud volcanism of the Kerch Peninsula. Naukova Dumka.
Shnyukov, E. F., &amp; Gurov, E. P. (2005). Mud volcanism of Crimea and its mineralogical features. Mineralogical Journal, 27(1), 15–32.
BRDO. (2022). Strategic mineral resources of Ukraine and barriers for investment. Better Regulation Delivery Office.
Sokol, E. V., Kokh, S. N., Kozmenko, O. A., Lavrushin, V. Y., Belogub, E. V., Khvorov, P. V., &amp; Kikvadze, O. E. (2019). Boron in an onshore mud volcanic environment: Case study from the Kerch Peninsula, the Caucasus continental collision zone. Chemical Geology, 525, 58–81. https://doi.org/10.1016/j.chemgeo.2019.07.018</t>
  </si>
  <si>
    <t>Boron mineralisation in Ukraine is dominated by mud-volcano and evaporitic systems, especially on the Kerch Peninsula (Bulganatske, Tarkhanske and related mud-volcano fields) and locally in evaporite sequences of the Slovyanska Suite (Dnipro–Donets Depression); Bulganatske is unique as an onshore mud-volcano borate deposit with hydrated Na and Na-Ca borates (ulexite, borax, tincalconite) precipitated from highly evolved saline fluids (40–70 g/L TDS) with B in mud up to ~900–1500 ppm and fluids averaging ~650 ppm, formed by deep Maykop Formation brines (1–3.5 km) mobilised during smectite-to-illite transformation, dewatering and ascent along anticline cores, with accumulation in playa-lake basins under alkaline (pH ~8.5–9.5) and evaporitic conditions; historical state reserves were recorded only at Bulganatske (GKZ B+C₁ ≈ 53.7 kt B₂O₃) and marginally at Tarkhanske (GKZ B ≈ 8.7 kt B₂O₃), while other Kerch mud-volcano systems and Chokratske Lake brines show elevated boron (typically 200–1000 mg/kg, locally up to ~335 mg/kg in brines) but are thin, seasonal, discontinuous crusts without ore bodies and are non-economic; Slovyanska Suite boron occurs as disseminated evaporitic–diagenetic borates (boronatrocalcite, probertite, kernite, hydroboracite, inyoite, inderite) associated with gypsum leaching zones and boron-rich brines (up to ~1.05 g/kg B), but no B₂O₃ tonnage is defined and it remains an occurrence only. Processing concepts for any viable boron extraction would rely on surface scraping or shallow excavation of evaporitic crusts, simple washing, dissolution and recrystallisation of borates, or brine processing via evaporation and chemical recovery, requiring low-permeability clay caps, controlled evaporation ponds, water management, and reagent handling rather than conventional mining infrastructure; economics are constrained by small tonnages, strong seasonality, discontinuous mineralisation, and sensitivity to evaporation cycles, meaning only Bulganatske ever reached deposit scale under historical conditions. Geopolitically, all key boron sites lie in Crimea and eastern Ukraine, areas affected by Russian occupation or high security risk, which currently precludes licensing, investment, export logistics, and ESG-compliant development; despite boron’s strategic relevance (glass, detergents, fertilisers, advanced materials), Ukraine’s boron potential is therefore geologically proven but economically marginal and geopolitically blocked, with post-mining strategies limited to academic reference, legacy reserve reporting, or hypothetical future brine- or evaporite-based recovery under a fundamentally different political and security context.</t>
  </si>
  <si>
    <t>Bulganatske borate occurrence (Kerch Peninsula, Ukraine). Deposit formed by evaporation of B-rich mud-volcano fluids in a non-marine continental setting. Hosts hydrated Na and Na-Ca borates (ulexite, borax, tincalconite) precipitating from highly evolved saline waters (40–70 g/L TDS). B in mud up to 900–1500 ppm; B in fluids avg 650 ppm (large MVs). Source rocks: Oligo-Miocene Maykop Formation (deep 1–3.5 km) with strong illite-dominated enrichment. Mineralization produced by smectite→illitization, dewatering, and ascent through anticline cores. Conditions for borate accumulation: playa-lake basins, summer evaporation, pH 8.5–9.5, low-permeability clay cap. Industrial reserves previously recorded: B₂O₃ category B+C₁ ≈ 53.7 kt. Unique among Kerch MVs for hosting an onshore economic borate field.</t>
  </si>
  <si>
    <t>Geological Evidence: 1
Justification: Documented borate mineralisation (ulexite, borax, tincalconite) precipitated from B-rich mud-volcano fluids, with measured B concentrations in solids and fluids and historical recognition as a borate deposit.
Data Quality: 1
Justification: Quantitative values are reported, including B concentrations (ppm), fluid chemistry, and historical industrial reserve figures expressed as B₂O₃ with tonnage, which can be translated into a CRIRSCO-style framework even if legacy.
Classification Alignment: 1
Justification: Explicit historical state reserve categories are reported (GKZ B + C₁ ≈ 53.7 kt B₂O₃), providing a clear classification anchor that can be crosswalked.</t>
  </si>
  <si>
    <t>Tarkhanske</t>
  </si>
  <si>
    <t xml:space="preserve"> 45°25'27.90"N</t>
  </si>
  <si>
    <t xml:space="preserve"> 36°27'48.73"E</t>
  </si>
  <si>
    <t>Shnyukov, E. F., Lebedev, Y. S., &amp; Zaitsev, V. P. (1986). Geology and mud volcanism of the Kerch Peninsula. Naukova Dumka.
Shnyukov, E. F., &amp; Gurov, E. P. (2005). Mud volcanism of Crimea and its mineralogical features. Mineralogical Journal, 27(1), 15–32.
Sokol, E. V., Kokh, S. N., Kozmenko, O. A., Lavrushin, V. Y., Belogub, E. V., Khvorov, P. V., &amp; Kikvadze, O. E. (2019). Boron in an onshore mud volcanic environment: Case study from the Kerch Peninsula, the Caucasus continental collision zone. Chemical Geology, 525, 58–81. https://doi.org/10.1016/j.chemgeo.2019.07.018
Popov, N. (1938). Geology of the mud volcano region of Kerch and borate formation. Transactions of the Crimean Geological Survey.</t>
  </si>
  <si>
    <t>Tarkhanske (Kerch Peninsula): small mud-volcano borate occurrence; B₂O₃ reserves category B = 8.7 kt; borax–ulexite–tincalconite in thin playa evaporite crusts from B-rich hydrothermal fluids (100–1500 mg/kg); hosted in Maykop-derived mud-volcano discharge; no massive ore bodies; mineralization seasonal and discontinuous; not economically viable.</t>
  </si>
  <si>
    <t>Geological Evidence: 1
Justification: Borate mineralisation (borax, ulexite, tincalconite) is documented in mud-volcano ejecta and evaporitic crusts with measured B concentrations; this constitutes demonstrable mineralisation, even if small and discontinuous.
Data Quality: 1
Justification: Quantitative data are reported, including B₂O₃ reserve tonnage (category B = 8.7 kt) and concentration ranges, which are translatable into a CRIRSCO-style framework despite legacy context.
Classification Alignment: 1
Justification: A formal state reserve category (GKZ B) is explicitly reported, providing a clear classification anchor.</t>
  </si>
  <si>
    <t>Slovyanska Suite - Bakhmut Dimple (DDD)</t>
  </si>
  <si>
    <t>Evaporite-hosted borate</t>
  </si>
  <si>
    <t xml:space="preserve"> 48°47'47.61"N</t>
  </si>
  <si>
    <t xml:space="preserve"> 37°37'43.32"E</t>
  </si>
  <si>
    <t xml:space="preserve">Mykhailov, V. A., Malyuk, B., Kovalenko, N., Bertrand, G., de Oliveira, D., Wittenberg, A., Wellmer, F.-W., Horwath, Z., Hollis, J., Wall, P., &amp; Quijano Gaudes, L. (2023). Strategic minerals of Ukraine and their investment attractiveness. </t>
  </si>
  <si>
    <t xml:space="preserve"> Lower Permian Slovyanska Suite in the Bakhmut Dimple (Dnipro-Donets Depression) contains boron-bearing horizons within salt sequences; borates (boronatrocalcite, probertite, kernite, hydroboracite, inyoite, inderite) formed in the leaching zone of gypsum; brines and groundwater contain up to 1.05 g/kg B; boron occurs as disseminated minerals in evaporitic–diagenetic settings; no quantified B₂O₃ reserves; classified as occurrence only, not economic.</t>
  </si>
  <si>
    <t>Geological Evidence: 1
Justification: Boron-bearing minerals are documented within evaporite sequences, with identified borate species and measured boron concentrations in brines and groundwater, demonstrating real mineralisation rather than speculation.
Data Quality: 0
Justification: No tonnage or reserve figures are reported and no B₂O₃ quantities are quantified; concentrations alone in brines are not sufficient to translate into a CRIRSCO-style resource framework.
Classification Alignment: 0
Justification: The site is explicitly described as an occurrence only, with no GKZ, UNFC, or state reserve classification anchor.</t>
  </si>
  <si>
    <t>Boron-rich waters of Kerch Peninsula</t>
  </si>
  <si>
    <t>Akhtar, Dzhardzhava and Chokrak (Kerch Peninsula) form a boron-rich mud-volcano system; deep Maykop-derived brines (100–1500 mg/kg B) ascend along anticlines; evaporation in mud lakes produces thin ulexite–borax–tincalconite crusts; Akhtar brines 200–800 mg/kg B, Dzhardzhava 300–1000 mg/kg with strongest efflorescences, Chokrak brines up to 335 mg/kg; mineralisation hydrothermal–evaporitic, discontinuous, no ore bodies, non-economic.</t>
  </si>
  <si>
    <t>Geological Evidence: 1
Justification: Boron-rich brines and secondary borate minerals (ulexite, borax, tincalconite) are documented with measured boron concentrations, confirming real mineralisation linked to mud-volcano systems.
Data Quality: 0
Justification: Although boron concentrations are reported for waters, no tonnage, reserve figures, or extractable quantities are provided, so the data cannot be translated into a CRIRSCO-style resource framework.
Classification Alignment: 0
Justification: The system is described as an occurrence only, with no GKZ, UNFC, or state reserve classification anchor.</t>
  </si>
  <si>
    <t>Chokratske Lake brines</t>
  </si>
  <si>
    <t>Salt Brine</t>
  </si>
  <si>
    <t xml:space="preserve"> 45°27'40.30"N</t>
  </si>
  <si>
    <t xml:space="preserve"> 36°17'50.06"E</t>
  </si>
  <si>
    <t>Sokol, E. V., Kokh, S. N., Kozmenko, O. A., Lavrushin, V. Y., Belogub, E. V., Khvorov, P. V., &amp; Kikvadze, O. E. (2019). Boron in an onshore mud volcanic environment: Case study from the Kerch Peninsula, the Caucasus continental collision zone. Chemical Geology, 525, 58–81.
Sokol, E. V., Kokh, S. N., Kozmenko, O. A., Novikova, S. A., Khvorov, P. V., Nigmatulina, E. A., Belogub, E. V., &amp; Kirillov, M. V. (2018). Mineralogy and geochemistry of mud volcanic ejecta: A new look at old issues (A case study from the Bulganak field, Northern Black Sea). Minerals, 8(8), 344.</t>
  </si>
  <si>
    <t>Chokratske Lake (Kerch Peninsula) contains boron-rich chloride–bicarbonate brines associated with nearby mud-volcano fluids; B concentrations up to 335 mg/kg; brines derive from deep Maykop Formation waters modified by evaporation in a shallow saline lake; seasonal concentration forms minor borax–ulexite efflorescences; no massive borate beds; hydrothermal–evaporitic boron occurrence, non-economic.</t>
  </si>
  <si>
    <t>Geological Evidence: 1
Justification: Boron-rich brines are documented with measured B concentrations and minor secondary borate efflorescences, confirming real hydrothermal–evaporitic boron mineralisation.
Data Quality: 0
Justification: Only concentration data in brines are reported; no tonnage, reserve figures, or extractable quantities are provided, so the data cannot be translated into a CRIRSCO-style resource framework.
Classification Alignment: 0
Justification: The site is described as a non-economic occurrence with no GKZ, UNFC, or state reserve classification anchor.</t>
  </si>
  <si>
    <t>Manganese</t>
  </si>
  <si>
    <t xml:space="preserve">Nikopolske </t>
  </si>
  <si>
    <t>Sedimentary</t>
  </si>
  <si>
    <t xml:space="preserve"> 47°40'57.83"N</t>
  </si>
  <si>
    <t xml:space="preserve"> 34°13'0.26"E</t>
  </si>
  <si>
    <t>Hamza, M., &amp; Hany, R. (2023). Geochemistry of manganese ore deposits of Mn-hosting top-10 countries with a case study of Egypt: A review. African Journal of Advanced Pure and Applied Sciences, 2(1), 139–149.
Mikhailov, B. M. (2001). Actual problems of prediction of manganese deposits in the Urals. Lithology and Mineral Resources, 36(1), 1–12.
Varentsov, I. M., Stolyarov, A. S., Ivleva, E. I., et al. (1997). Geochemical model of the formation of Early Oligocene manganese ores in the Eastern Paratethys: The Nikopol and other deposits of the South Ukrainian Basin. Geology of Ore Deposits, 39(1), 49–67.
"Mykhailov, V. A., Malyuk, B., Kovalenko, N., Bertrand, G., de Oliveira, D., Wittenberg, A., Wellmer, F.-W., Horwath, Z., Hollis, J., Wall, P., &amp; Quijano Gaudes, L. (2023). Strategic minerals of Ukraine and their investment attractiveness. 
Lozhnikov, O., Pavlychenko, A., Shustov, O., &amp; Dereviahina, N. (2025). Prospects for the development of copper ore deposits in Ukraine. IOP Conference Series: Earth and Environmental Science, 1457, 012003. https://doi.org/10.1088/1755-1315/1457/1/012008"
Kuleshov, V. N. (2011). Manganese deposits: Communication 2. Major epochs and phases of manganese accumulation in the Earth’s history. Lithology and Mineral Resources, 46(6), 546–565.</t>
  </si>
  <si>
    <t xml:space="preserve"> Ukraine’s manganese sector is dominated by the Nikopol Oligocene sedimentary basin (Nikopolske, Velykotokmatske, Fedorivske), one of the world’s largest Mn provinces, with laterally continuous ore beds 0.5–5 m thick at shallow depth (10–100 m), mined mainly by open pit (Marganets GOK, Pokrov GOK); high-grade oxide ores (historically &gt;40% MnO) are largely depleted, and current production is dominated by carbonate and mixed ores (typical Mn 23–31%), which require cost-intensive beneficiation (crushing, washing, gravity separation, calcination and blending) to meet ferroalloy feed specifications, reducing international competitiveness despite enormous resources (&gt;1.6–1.7 Bt basin-wide, including ~1.75 Bt at Velykotokmatske); Fedorivske is much smaller (~34 Mt C1+C2) but notable for low-phosphorus oxide ores capable of producing ~49% Mn concentrate with simpler processing. Other Ukrainian Mn occurrences are geologically proven but economically marginal: Burshtynske (Fore-Carpathians) is small and low-grade (~9.5% Mn average, ~2 Mt metal), Prelutske is a structurally complex metamorphosed Mn–silicate occurrence with high but highly variable grades and poorly constrained tonnage, Kerch Fe–Mn oolitic ores host large Mn quantities (~40 Mt) but at low and erratic grades tied to iron ores, and Khashchuvatske represents extensive supergene Fe–Mn lateritic material with prognostic P1–P3 resources but no defined mineable bodies; infrastructure for Nikopol Mn includes established pits, processing plants, rail links and power, but beneficiation intensity, energy costs and declining ore quality dominate economics, while downstream value depends on ferroalloy production rather than Mn metal. Geopolitically, Nikopol remains one of Ukraine’s most strategic mineral assets for steelmaking and EU supply chains, but proximity to active conflict zones increases operational, energy and logistics risk; long-term viability depends on stabilised security, energy price control, technological upgrading of carbonate-ore beneficiation, and integration with low-carbon ferroalloy production, whereas non-Nikopol Mn occurrences are best regarded as future or secondary resources rather than near-term industrial projects.</t>
  </si>
  <si>
    <t>Sedimentary Oligocene Mn deposit within the Nikopol basin, Dnipropetrovsk Oblast; ore bed 0.5–5 m thick (typically 1.5–2.5 m) at 10–100 m depth, traced ~250 km across a 500 km² basin. Hosted in a three-unit sandy–clay sequence: footwall sands, Mn ore bed, and hanging-wall clays. Strong vertical and lateral zonation into oxide, mixed, and carbonate ores; carbonate dominant in eastern and western sectors. Main minerals: pyrolusite, manganite, todorokite, cryptomelane, birnessite, rancieite, manganocalcite, rhodochrosite. Mean ore chemistry: ~40.7 percent MnO, 4.1 percent Fe₂O₃, 15.6 percent SiO₂, 4.2 percent Al₂O₃, 7.1 percent CaO; Mn/Fe ratio ~25. REE content 60–197 ppm with MREE–HREE enrichment, Ce/Ce mostly positive (~1.16) indicating oxic–suboxic marine deposition; Eu/Eu ≈1; negative Y anomalies. Pb-isotope ratios reflect mixed hydrothermal and terrestrial metal sources. Major quarries: Shevchenkivskiy, Zaporizkiy, Bogdanivskiy, Chkalovskiy (1–2), Pivnichniy, Oleksandrivskiy, Pokrovskiy. Mined by Marganets GOK and Pokrov GOK (open pit + limited underground). High-grade oxide ores largely exhausted; current production focuses on lower-grade carbonate and mixed ores. Total identified resources exceed 1.6–1.7 Bt.** Economically feasible, but primarily due to very large reserves; current ores are low-grade carbonate and require cost-intensive beneficiation, making competitiveness limited.</t>
  </si>
  <si>
    <t>Geological Evidence: 1
Justification: Extensive, well-documented sedimentary manganese mineralisation with continuous ore beds, defined thickness, lateral continuity, mineral assemblages, and long-term mining history clearly demonstrates mineralisation.
Data Quality: 1
Justification: Quantitative data are comprehensive, including ore thickness, depth, lateral extent, detailed geochemistry, and total identified resources exceeding 1.6–1.7 Bt, which are directly translatable into a CRIRSCO-style framework.
Classification Alignment: 1
Justification: The deposit has long-standing state-recognised reserves, active mining operations, and is consistently treated in the literature as a formal deposit with resource and reserve statements, providing a clear classification anchor.</t>
  </si>
  <si>
    <t>Velykotokmatske</t>
  </si>
  <si>
    <t xml:space="preserve"> 47°41'50.61"N</t>
  </si>
  <si>
    <t xml:space="preserve"> 34°45'15.67"E</t>
  </si>
  <si>
    <t>Hamza, M., &amp; Hany, R. (2023). Geochemistry of manganese ore deposits of Mn-hosting top-10 countries with a case study of Egypt: A review. African Journal of Advanced Pure and Applied Sciences, 2(1), 139–149.
Mikhailov, B. M. (2001). Actual problems of prediction of manganese deposits in the Urals. Lithology and Mineral Resources, 36(1), 1–12.
Varentsov, I. M., Stolyarov, A. S., Ivleva, E. I., et al. (1997). Geochemical model of the formation of Early Oligocene manganese ores in the Eastern Paratethys: The Nikopol and other deposits of the South Ukrainian Basin. Geology of Ore Deposits, 39(1), 49–67.
Kuleshov, V. N. (2011). Manganese deposits: Communication 2. Major epochs and phases of manganese accumulation in the Earth’s history. Lithology and Mineral Resources, 46(6), 546–565.</t>
  </si>
  <si>
    <t>Eastern sector of the Nikopol Oligocene Mn basin, Dnipropetrovsk Oblast; ore layer up to ~3 m thick within sand–silt–clay host rocks, showing strong north–south zonation from oxide to mixed and dominant carbonate ores (~87 percent of total resource). Ore forms nodules, pisolites, lenses and solid carbonate masses composed mainly of manganocalcite and calcium-rich rhodochrosite, with oxide phases including pyrolusite, manganite and cryptomelane. Average Mn grades: oxide ~31 percent, mixed ~27.2 percent, carbonate ~23.4 percent. Total resources ~1.75 Bt (1.58 Bt confirmed). Represents one of the largest carbonate-dominated units of the Nikopol basin; mined primarily by open-pit methods. Economical, but primarily due to very large reserves; current ores are low-grade carbonate and require cost-intensive beneficiation, making competitiveness limited.</t>
  </si>
  <si>
    <t>Geological Evidence: 1
Justification: Well documented sedimentary manganese mineralisation with continuous ore layers, defined thickness, mineral assemblages, grade data, and large scale mining confirms demonstrable mineralisation.
Data Quality: 1
Justification: Quantitative data are reported, including ore thickness, Mn grades by ore type, and total and confirmed resources in Bt, which are directly translatable into a CRIRSCO style framework.
Classification Alignment: 1
Justification: The deposit is part of the state recognised Nikopol manganese basin with long established reserve and resource accounting and active mining history, providing a clear classification anchor.</t>
  </si>
  <si>
    <t>Fedorivske</t>
  </si>
  <si>
    <t xml:space="preserve"> 47°37'50.40"N</t>
  </si>
  <si>
    <t xml:space="preserve"> 34° 7'41.95"E</t>
  </si>
  <si>
    <t>Southwestern sector of the Nikopol Oligocene Mn basin, Dnipropetrovsk Oblast; ore bed 1–3 m thick within the standard sand–silt–clay Oligocene sequence, dominated by high-quality low-phosphorus oxide and oxide-carbonate ores (~98 percent). Ore composed mainly of manganite and pyrolusite with minor mixed phases, allowing production of high-grade ~49 percent Mn concentrate. Industrial Mn content averages ~19.4 percent (cut-off ~16 percent). Total resources ~34 Mt (C1+C2), significantly smaller than other basin deposits but with superior ore quality and simpler beneficiation requirements. Historically exploited as part of the Nikopol mining system, primarily via open-pit operations.</t>
  </si>
  <si>
    <t>Geological Evidence: 1
Justification: Clearly documented sedimentary manganese mineralisation with defined ore beds, mineralogy, grades, and historical mining demonstrates unequivocal mineralisation.
Data Quality: 1
Justification: Quantitative data are provided, including ore thickness, Mn grades, cut-off values, concentrate grades, and total resources reported as C1+C2 tonnage, which are translatable into a CRIRSCO-style framework.
Classification Alignment: 1
Justification: Explicit GKZ reserve categories (C1+C2) are reported and the deposit forms part of the state-recognised Nikopol manganese basin with historical exploitation, providing a clear classification anchor.</t>
  </si>
  <si>
    <t>Burshtynske</t>
  </si>
  <si>
    <t>Ivano-Frankivsk</t>
  </si>
  <si>
    <t xml:space="preserve"> 49° 5'41.88"N</t>
  </si>
  <si>
    <t xml:space="preserve"> 24°48'0.94"E</t>
  </si>
  <si>
    <t>Rudenko, K. V., Derevska, K. I., Surova, V. M., &amp; Marusyak, V. P. (2025). Prospects for the use in the stone-working industry of gemstone raw materials from manganese ore occurrences in the Folded Carpathians. Journal of Geology, Geography and Geoecology, 34(2), 355–364. https://doi.org/10.15421/112530
Rudko, H. I., &amp; Karly, V. E. (2023). Geology of the world’s manganese deposits. Article 2: Prospects for the development of manganese ore mineral raw material base of Ukraine. Mineral Resources of Ukraine, 1, 11–18. https://doi.org/10.31996/mru.2023.1.11-18</t>
  </si>
  <si>
    <t>Miocene sedimentary Mn occurrence in the Fore-Carpathian basin near Burshtyn, Ivano-Frankivsk Oblast; Mn hosted in Mn-bearing limestones, marls and clays filling depressions up to ~26 m thick, with lenticular ore bodies 100–500 m long and 1–6 m thick. Unoxidized ores contain ~0.5–9% Mn (avg ≈7–10%), locally oxidized lenses reach ~30–40% Mn; total metallic Mn resources ≈2 Mt at ~9.5% Mn. Area is currently exploited mainly as a limestone quarry, and the Mn mineralization is regarded as small, low-grade and structurally complex, so not an economic manganese ore deposit at present.</t>
  </si>
  <si>
    <t>Geological Evidence: 1
Justification: Manganese mineralisation is documented in Miocene sedimentary units with defined ore lenses, thicknesses, grades, and identified Mn-bearing lithologies, confirming real mineralisation.
Data Quality: 1
Justification: Quantitative data are reported, including ore thickness, Mn grades, and an estimated total metallic Mn resource (~2 Mt at ~9.5% Mn), which can be translated into a CRIRSCO-style framework despite low grade and limited scale.
Classification Alignment: 0
Justification: The site is described as an occurrence and is not supported by GKZ, UNFC, or state reserve categories; no formal reserve or resource classification anchor is reported.</t>
  </si>
  <si>
    <t>Kerchenskiy</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</si>
  <si>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Hrinchenko, O. V., Kurylo, M. V., Mykhailov, V. A., Mykhailova, L. S., Ohar, V. V., Omelchuk, O. V., Shevchenko, V. I., Shunko, V. V., &amp; Shcherbak, D. M. (2006). Metalichni korysni kopalyny Ukrainy: Pidruchnyk [Metallic minerals of Ukraine: Textbook]. Kyiv University Publishing.
Kholodov, V. N., &amp; Butuzova, G. Y. (2004). Types of siderite-bearing iron ore deposits. Lithology and Mineral Resources, 39(5), 389–405.
Kholodov, V. N., &amp; Butuzova, G. Y. (2004). Types of siderite-bearing iron ore deposits. Lithology and Mineral Resources, 39(5), 389–405.
(duplicate of the file above)
Kholodov, V. N., Golubovskaya, E. V., Ruchkina, A. V., &amp; Kolosov, I. V. (2014). Sedimentary iron ore formations: Their facies types, depositional environments, and distribution patterns. Lithology and Mineral Resources, 49(5), 359–380.</t>
  </si>
  <si>
    <t>Oolitic iron ores; Sc 7–11 g/t; hosted in hydrogoethite–ferrimontmorillonite. Marine sedimentary Fe–Mn basin in Cimmerian (Middle Pliocene) shallow-water bog–lagoon–liman environments of the Kerch–Taman region. Ore bodies occur in structurally controlled synclines, anticlinal limbs and mud-volcano–related “indented” synclines, forming sheeted and lenticular oolitic goethite–chlorite–siderite units 1–15 m thick across two coastal belts (~500 km combined). Manganese occurs as colloidal Mn oxyhydroxides, Mn-bearing carbonates, psilolimestones and isomorphic Mn in Fe hydroxides. Grades range from ~0.7–2.2 percent Mn in iron ores, 3–6 percent in carbonate concretions and up to 14–22 percent in localized oxide nodules; total Mn resources ~40 Mt. Genetic model involves Fe–Mn supply from weathered Ukrainian Shield rocks into pre-Cimmerian bog–liman systems, followed by Cimmerian transgression and redox precipitation. Historically mined for iron (brown and tobacco ores; &gt;1.1 Gt), but no current manganese or iron mining; Mn mineralization considered subeconomic due to low and highly variable grades and complex facies architecture.</t>
  </si>
  <si>
    <t>Geological Evidence: 1
Justification: Extensive, well documented oolitic Fe–Mn mineralisation with defined ore bodies, thickness ranges, mineralogy, grades, and a long mining history for iron demonstrates unequivocal mineralisation.
Data Quality: 1
Justification: Quantitative data are reported, including ore thickness, Mn grade ranges, trace element contents, and total Mn resources (~40 Mt), which are translatable into a CRIRSCO-style framework even if subeconomic.
Classification Alignment: 0
Justification: The site is explicitly treated as an occurrence for manganese, with no GKZ, UNFC, or state reserve classification anchor for Mn; historical reserve statements relate primarily to iron.</t>
  </si>
  <si>
    <t xml:space="preserve">Prelutske </t>
  </si>
  <si>
    <t>Metamorphosed Mn–silicate</t>
  </si>
  <si>
    <t xml:space="preserve"> 48° 1'8.39"N</t>
  </si>
  <si>
    <t xml:space="preserve"> 24° 4'30.43"E</t>
  </si>
  <si>
    <t>Metamorphosed Mn–silicate deposit located in the Prelutske Ridge south of Rakhiv, hosted in quartz–chlorite–sericite schists and underlying gneisses of the Rakhiv Massif. Manganese occurs in structurally controlled lenses and ore zones developed along steep NE–SW shear zones, forming multiple rhodonite–rhodochrosite–Mn oxide bodies 1–10 m thick. Mineralization includes rhodonite, rhodochrosite, Mn-chlorite, manganite, pyro­lusite, psilomelane and subordinate quartz–calcite veining. Ore lenses are irregular, lenticular and strongly discontinuous, reflecting alpine-type deformation. Grades vary widely (14–41 percent Mn; average ≈32 percent). Total resources are poorly constrained (16 kt to 3 Mt), with no registered reserves. Accessory underground workings indicate limited historical exploration only. Due to small size, structural complexity and uneven grade distribution, Prelutske is classified as a non-industrial Mn–silicate occurrence rather than an economic ore deposit.</t>
  </si>
  <si>
    <t>Geological Evidence: 1
Justification: Manganese mineralisation is clearly documented in metamorphosed Mn–silicate lenses with described mineral assemblages, thickness ranges, structural controls, and measured Mn grades, confirming real mineralisation.
Data Quality: 0
Justification: Although grade ranges are reported, total resources are poorly constrained (wide range from 16 kt to 3 Mt) with no reliable tonnage definition or consistent quantitative framework that can be translated into a CRIRSCO-style resource.
Classification Alignment: 0
Justification: The site is explicitly classified as a non-industrial occurrence with no GKZ, UNFC, or state reserve registration and no formal reserve or resource anchor.</t>
  </si>
  <si>
    <t>Khashchuvatske is a hypergenic (supergene) lateritic Fe–Mn occurrence in the Pobuzhye region on the Ukrainian Shield, formed within a Meso-Cenozoic weathering crust developed on Precambrian crystalline basement. The deposit consists of planar, planar-linear and linear weathering profiles enriched in iron and manganese oxides and hydroxides, extending along a north-trending strip 4–15 km wide and up to 10 km long, with weathering depths reaching ~40 m. Mineralization occurs in multiple oxide-rich horizons (up to 14), containing MnO ≈ 30 percent on average. Ore material is easily beneficiated due to the dominance of soft, earthy Mn–Fe oxides. No official reserves are registered; Khashchuvatske belongs to the P1–P3 prognostic resource category, with part of the broader Pobuzhye area estimated at ~758 Mt (P1+P2) and ~376 Mt (P3) of Mn-bearing lateritic material. Considered non-industrial at present due to dispersive geometry, low Mn concentration relative to global standards, and lack of developed ore bodies. Khashchuvatske deposit; supergene weathering crust on rare earth granites and metasomatites; weathering profile 20–100 m thick, locally up to 100 m in pockets; REE occur mainly as adsorbed phases on iron and clay minerals; extremely Y rich: Y₂O₃ makes up about 85 percent of total REE; Y hosted in churchite and rhabdophane forming small bunches and layers; also contains rutile, zircon, spinel, barite, apatite; iron kaolinite hydromica ores with high Fe₂O₃ (20.12 percent) and MnO (1.59 percent); Y recoverable through gravity separation; one of Ukraine’s most Y dominated occurrences.</t>
  </si>
  <si>
    <t>Geological Evidence: 1
Justification: Supergene Fe–Mn mineralisation is well documented within a lateritic weathering crust, with described profiles, mineral assemblages, MnO contents, and spatial extent, confirming demonstrable mineralisation.
Data Quality: 0
Justification: Although MnO averages and large prognostic tonnages are mentioned, no defined ore bodies, mineable tonnage, or reserve-grade framework exists; P1–P3 prognostic figures are not directly translatable into a CRIRSCO-style resource.
Classification Alignment: 1
Justification: The occurrence is explicitly assigned to state prognostic resource categories (P1–P3), which constitute a formal classification anchor that can be crosswalked conceptually, even though it is not an industrial reserve.</t>
  </si>
  <si>
    <t>Strontium</t>
  </si>
  <si>
    <t>Carbonate–carbonatite rare-metal–apatite</t>
  </si>
  <si>
    <t>"Mykhailov, V. A., Malyuk, B., Kovalenko, N., Bertrand, G., de Oliveira, D., Wittenberg, A., Wellmer, F.-W., Horwath, Z., Hollis, J., Wall, P., &amp; Quijano Gaudes, L. (2023). Strategic minerals of Ukraine and their investment attractiveness.
KRYVDIK, S.G., &amp; DUBYNA, O.V. (2012). ORE-BEARING ABILITY IN RARE METALS OF PROTEROZOIC MAGMATIC COMPLEXES IN THE UKRAINIAN SHIELD. Geologìčnij Žurnal (Geological Journal). http://geojournal.igs-nas.org.ua/article/view/139205"
State Geologic and Subsoil Survey of Ukraine. (2022, February). Novopoltavske field – mine Pivdenne, mine Pivniche: Mineral-resource overview [PDF]. https://www.geo.gov.ua/wp-content/uploads/2022/02/novopoltavske_en.pdf
State Service of Geology and Mineral Resources of Ukraine. (2022). Novopoltavske deposit: Geological information (Fact sheet No. 05). https://www.geo.gov.ua/wp-content/uploads/2022/02/novopoltavske_en.pdf
Zahnitko, V., Mykhailov, V., Kryvdik, S., &amp; Sydorchuk, V. (2017). Genetic features and resources of rare-metal deposits of the Ukrainian Shield. Visnyk of Taras Shevchenko National University of Kyiv: Geology, 1(76), 58–68.</t>
  </si>
  <si>
    <t>Ukraine strontium post-mining overview (processing, infrastructure, economics, geopolitics): Ukraine’s strontium potential is dominated by the Novopoltavske carbonate–carbonatite rare-metal deposit (Zaporizhia), a large Proterozoic complex hosting calcite–dolomite carbonatites and foskorites enriched in Sr (average ~1% Sr in carbonatites, locally 3–5.8%), with associated apatite (3–30%, locally up to 80%), magnetite and accessory REE, Nb and Ta; state balance reserves for strontium ores are well defined (B+C1 ≈ 859.6 Mt ore containing ~865 kt Sr, plus C2 ≈ 95.9 Mt ore with ~87 kt Sr), making it Ukraine’s only true solid-phase Sr deposit. Post-mining processing would require underground mining with intensive dewatering, followed by crushing, grinding and chemical beneficiation (selective dissolution and precipitation) to recover Sr, typically as strontium carbonate or sulfate, likely integrated with apatite and REE recovery to improve economics; capital and operating costs are high due to polymetallic complexity, strong aquifer inflows and inactive mine infrastructure (Pivdenne and Pivniche mines currently idle), so project viability depends on by-product credits and long-term demand rather than Sr alone. A secondary, fundamentally different Sr source is Pivnichno-Syvaske iodine–bromine industrial brines, where Sr occurs only in dissolved form (≈52–62 mg/l) alongside I, Br, B, Li and K in deep Na-Cl waters; here Sr could only be co-recovered via multi-element brine-processing circuits and is not an independent mining target. Infrastructure requirements for both settings are significant: Novopoltavske needs underground access, pumping, processing plants and rail links, while brine fields rely on deep wells, heat- and corrosion-resistant surface installations and chemical extraction facilities. Economically, Ukraine’s strontium is geologically well proven but niche, with Novopoltavske competitive only as a complex rare-metal–apatite operation and brine-hosted Sr strictly a by-product; geopolitically, both key sites lie in southeastern Ukraine near active or high-risk zones, which constrains investment, insurance and export logistics, meaning Ukraine’s strontium potential is strategic on paper but realistically a long-term, post-stabilisation opportunity rather than a near-term supply source.</t>
  </si>
  <si>
    <t>Novopoltavske (Zaporizhzhia, 938.10 ha): rare-metal carbonate–carbonatite deposit of the Chernihivske complex; hosts apatite (3–30 %, locally 20–80 % in foskorites), magnetite (0–15 %), calcite–dolomite carbonatites enriched in Sr (calcite to 5.8 % Sr, dolomite to 2.2 % Sr), accessory REE (apatite 0.7–7 % TR₂O₃), Nb, Ta, U, F; ore types include weathering-crust zones up to 300 m and primary carbonate/phosphate-carbonatite bodies; average Sr in carbonatites ~1 %, rising to 3–4 % in northern sectors; state balance reserves (strontium ores): B+C1 = 859,627 kt ore / 865 kt Sr-ore, C2 = 95,858 kt / 87 kt; mines Pivdenne &amp; Pivniche; currently inactive; complex polymetallic system with strong aquifer inflows requiring drainage and underground development.</t>
  </si>
  <si>
    <t>Geological Evidence: 1
Justification: Well documented carbonate–carbonatite mineralisation with defined ore types, mineral assemblages, spatial extent, and clear strontium enrichment demonstrates unequivocal mineralisation.
Data Quality: 1
Justification: Quantitative data are comprehensive, including Sr grades, ore tonnages, depth and thickness of ore zones, and detailed breakdown of state balance reserves, all directly translatable into a CRIRSCO-style framework.
Classification Alignment: 1
Justification: Explicit state balance reserve categories are reported for strontium ores (B + C1 and C2), providing a clear GKZ-style classification anchor.</t>
  </si>
  <si>
    <t>Pivnichno-Syvaske</t>
  </si>
  <si>
    <t>Iodine–bromine industrial-water field</t>
  </si>
  <si>
    <t xml:space="preserve"> 46°22'3.66"N</t>
  </si>
  <si>
    <t xml:space="preserve"> 34°34'36.88"E</t>
  </si>
  <si>
    <t>Pivnichno-Syvaske (Kherson region): deep iodine–bromine industrial-water field hosted in Upper Paleocene–Middle Eocene siltstones and sandstones at 1300–1600 m depth; Na-Cl brines with mineralisation 26–34 g/l and temperatures 58–59.3 °C; dissolved components: iodine 29.8 mg/l average, Sr 52–62 mg/l, Br 85–86 mg/l, B 58–64 mg/l, K 133–154 mg/l, Li 0.9–1.1 mg/l; approved operational reserves (A+B+C1) 33.6 thousand m³/day; annual iodine yield ~365 t, 25-year yield 9,125 t; water chemistry shows acceptable impurity levels; strontium present only in dissolved form (no solid Sr minerals), co-recoverable in multi-element brine-extraction systems; deposit currently used for iodine-bearing water extraction; no dedicated Sr production.</t>
  </si>
  <si>
    <t>Geological Evidence: 1
Justification: Industrial iodine–bromine mineralised brines are clearly documented with defined host formations, depths, temperatures, and measured dissolved element concentrations, confirming demonstrable mineralisation.
Data Quality: 1
Justification: Quantitative data are robust, including dissolved element concentrations, approved operational reserves (A+B+C1 in m³/day), and documented annual and life-of-field iodine yields, which are translatable into a CRIRSCO-style framework for industrial brines.
Classification Alignment: 1
Justification: Explicit approved state reserve categories (A+B+C1) are reported for the industrial-water field, providing a clear classification anchor.</t>
  </si>
  <si>
    <t>Beryllium</t>
  </si>
  <si>
    <t>Perzhanske</t>
  </si>
  <si>
    <t>Alkaline-metasomatic</t>
  </si>
  <si>
    <t xml:space="preserve"> 51°22'35.30"N</t>
  </si>
  <si>
    <t xml:space="preserve"> 27°54'42.65"E</t>
  </si>
  <si>
    <t>Piestrzyński, A., Zygo, B., Zygo, W., Pieczonka, J., &amp; Berezovsky, A. (2023). Genthelvite from the world-class beryllium-polymetallic deposit – Perga, Ukraine. In 17th Biennial SGA Meeting, ETH Zurich, Switzerland, August 28 – September 1 (pp. 128–130). Society for Geology Applied to Mineral Deposits.
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Dubyna, O., Kryvdik, S., Belskyy, V., &amp; Vyshnevskyi, O. (2020). Features of beryllium and rare metal mineralization in syenite of the Perga deposit (Ukrainian Shield). Visnyk of Taras Shevchenko National University of Kyiv: Geology, 1(88), 92–101. https://doi.org/10.17721/1728-2713.88.13</t>
  </si>
  <si>
    <t>Ukraine beryllium post-mining overview (processing, infrastructure, economics, geopolitics): Ukraine’s beryllium potential is overwhelmingly dominated by the Perzhanske (Perga) alkaline-metasomatic deposit on the Ukrainian Shield, a globally unique genthelvite-dominated Be–polymetallic system hosted in metasomatized Perga granites along the Sushchano–Perga fault zone, with eight large ore zones (up to ~3 km long, 40–80 m wide) containing Be mainly in genthelvite (~69% of Be minerals, BeO ~12.2–12.4%) and subordinate phenakite, formed by F- and CO₃-rich alkaline fluids at ~400–500 °C; total BeO exceeds ~10 kt at an average deposit grade of ~0.5% BeO, with strong enrichment in Zn, Nb, Ta, Zr, Y and REE, making Perzhanske a world-class geological object but currently inactive and without formal GKZ reserve registration. Post-mining processing would be technically complex, requiring underground mining followed by fine grinding and hydrometallurgical treatment to break down genthelvite (a Be–Zn silicate), with Be recovery likely only viable if integrated with Zn and rare-metal by-products, implying high capital intensity, strict environmental controls and specialised chemical infrastructure. Other Ukrainian Be occurrences (Novostankuvatske, Lypnyazke, Tashlytske) form an alkaline-metasomatic rare-metal belt but are early-stage or prognostic only (P3 at best), lacking verified grades, tonnage or modern drilling, while Shevchenkivske pegmatites host Be only as accessory beryl in Li-dominated systems and are non-economic for Be. Economically, Ukraine’s Be is therefore high-quality but niche, dependent on complex polymetallic flowsheets and long-term strategic demand rather than bulk production, with Perzhanske the only site of potential international significance. Geopolitically, although Perzhanske lies outside the most active conflict zones, Be’s toxicity, processing complexity, and sensitive end uses mean development would require strong regulatory capacity, Western technology partners and secure export routes; as a result, Ukraine’s beryllium should be viewed as a strategic long-term option rather than a near-term supply source, with value contingent on post-war stabilisation and integration into advanced materials supply chains.</t>
  </si>
  <si>
    <t>Ukrainian Shield, Sushchano–Perga fault zone; Be hosted in metasomatized Perga granites (quartz–feldspar, albite, K-feldspar, mica metasomatites). Eight ore zones (up to 3 km long, 40–80 m wide) with multiple lenses. Main minerals: genthelvite (~69%), phenakite (~2%). Genthelvite shows 3+ generations, zoning, BeO ~12.2–12.4%, ZnO 36–50%, impurities Cd, Ge, Th, Ti. Associated minerals: columbite, monazite, Y-silicate, REE carbonates, zircon, magnetite, tungstenite. Phenakite early; genthelvite replaces phenakite under increasing alkalinity. Formed from F- and CO3-rich alkaline fluids at ~400–500°C. Host rocks alkaline to subalkaline, enriched in Nb, Ta, Zr, Y, REE. Unique global Be deposit dominated by genthelvite; total BeO &gt;10 kt with avg ~0.5% BeO. Not currently mined.</t>
  </si>
  <si>
    <t>Geological Evidence: 1
Justification: Well documented beryllium mineralisation hosted in alkaline metasomatites with clearly described ore zones, mineral assemblages (genthelvite, phenakite), structural controls, and formation conditions demonstrates unequivocal mineralisation.
Data Quality: 1
Justification: Quantitative data are reported, including number and dimensions of ore zones, BeO grades in minerals, average deposit grade (~0.5% BeO), and total BeO tonnage (&gt;10 kt), which are translatable into a CRIRSCO style framework.
Classification Alignment: 0
Justification: Despite being described as a world class deposit, no explicit GKZ, UNFC, or state balance reserve categories are reported in the provided sources, so there is no formal classification anchor.</t>
  </si>
  <si>
    <t>Novostankuvatske — prospective rare-metal pegmatite / polymetallic occurrence; unofficial past estimate ~3,589 t BeO (P3), associated Li, Nb, Ta, Rb, Cs, Sn, W. No modern geological data; unlicensed; no mining.</t>
  </si>
  <si>
    <t>Geological Evidence: 1
Justification: Rare metal mineralisation is reported with Be-bearing pegmatitic or metasomatic associations and accessory critical elements, indicating demonstrable mineralisation rather than pure speculation.
Data Quality: 0
Justification: The only quantitative figure is an unofficial historical estimate (~3,589 t BeO) assigned to a prognostic P3 level, with no supporting tonnage, grade framework, or modern verification that could be translated into a CRIRSCO-style resource.
Classification Alignment: 1
Justification: The occurrence is explicitly linked to a state prognostic resource category (P3), which constitutes a formal classification anchor, even though it is not a reserve or resource.</t>
  </si>
  <si>
    <t>Lypnyazke</t>
  </si>
  <si>
    <t xml:space="preserve"> 48°25'43.01"N</t>
  </si>
  <si>
    <t xml:space="preserve"> 31° 4'1.68"E</t>
  </si>
  <si>
    <t>Lypnyazke — Kirovohrad region; promising beryllium occurrence in alkaline metasomatites; no defined reserves; part of Be-bearing rare-metal belt (with Novostankuvatske, Talytske); open for licensing; early-stage, no economic data.</t>
  </si>
  <si>
    <t>Geological Evidence: 1
Justification: Beryllium mineralisation is reported within alkaline metasomatites and the site is treated as part of a recognised Be-bearing rare-metal belt, indicating demonstrable mineralisation rather than pure speculation.
Data Quality: 0
Justification: No tonnage, grade, or quantitative resource figures are reported; there are no data that can be translated into a CRIRSCO-style framework.
Classification Alignment: 0
Justification: The site is described as an early-stage occurrence with no GKZ, UNFC, or state prognostic or reserve classification anchor.</t>
  </si>
  <si>
    <t>Tashlytske</t>
  </si>
  <si>
    <t xml:space="preserve"> 48°10'22.89"N</t>
  </si>
  <si>
    <t xml:space="preserve"> 30° 5'5.70"E</t>
  </si>
  <si>
    <t>Kirovohrad region; promising Be occurrence in alkaline metasomatites of rare-metal granite–pegmatite belt; grouped with Novostankuvatske &amp; Lypnyazke; no defined reserves; early-stage, unlicensed; no published geology or mineralogy; prospective only.</t>
  </si>
  <si>
    <t>Geological Evidence: 0
Justification: The site is described as prospective only, with no published geology, mineralogy, or documented mineral assemblages demonstrating actual mineralisation.
Data Quality: 0
Justification: No tonnage, grade, concentration data, or quantitative estimates are reported that could be translated into a CRIRSCO-style framework.
Classification Alignment: 0
Justification: There is no GKZ, UNFC, or state prognostic or reserve classification anchor; the occurrence is unlicensed and early-stage only.</t>
  </si>
  <si>
    <t>Shevchenkivske – spodumene-type rare-metal pegmatite field; Be occurs only as accessory beryl in Li–Ta–Nb pegmatites; beryl formed in late magmatic–pegmatitic stage; Be hosted in coarse quartz–feldspar–spodumene zones and local albitized pegmatites; no distinct Be ore bodies; no Be grades; Be concentration low and non-economic; Be associated with Ta–Nb minerals and trace Cs–Rb phases; Be mineralization irregular and discontinuous across pegmatite dikes; overall: Li-dominated system with minor Be as accessory silicate.</t>
  </si>
  <si>
    <t>Geological Evidence: 1
Justification: Accessory beryl is documented within spodumene-bearing rare-metal pegmatites, confirming real but minor Be mineralisation.
Data Quality: 0
Justification: No Be grades, tonnage, or quantitative resource figures are reported; Be is described only qualitatively as accessory and non-economic, so it cannot be translated into a CRIRSCO-style framework.
Classification Alignment: 0
Justification: There is no GKZ, UNFC, or state reserve or prognostic classification for beryllium at this site; the deposit is classified and evaluated primarily for lithium.</t>
  </si>
  <si>
    <t>Germanium</t>
  </si>
  <si>
    <t>Donetskiy Basin</t>
  </si>
  <si>
    <t>Coal-hosted germanium</t>
  </si>
  <si>
    <t xml:space="preserve"> 48° 0'17.43"N</t>
  </si>
  <si>
    <t xml:space="preserve"> 38° 3'4.35"E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</si>
  <si>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Shpirt, M. Ya., Stopani, O. I., Lebedeva, L. N., Kosta, L. A., &amp; Gorlova, E. G. (2020). Germanium production technology based on the conversion of germanium-bearing lignites. Solid Fuel Chemistry, 54(1), 1–10. https://doi.org/10.3103/S0361521920010061
Bilous, O. I., &amp; Burlutskyy, M. S. (2025). Fractal approach to geological and economic assessment of germanium-bearing lignites. Mineral Resources of Ukraine, 2, 6–14. https://doi.org/10.31996/mru.2025.2.6-14
Chernobuk, O. I., Ishkov, V. V., Kozii, Ye. S., Kozar, M. A., Pashchenko, P. S., &amp; Dreshpak, O. S. (2023). Relationship between germanium, ash content, and toxic elements in coal on the example of the c5 seam of the Blahodatna mine, Western Donbas. Scientific Works of DonNTU, Mining and Geological Series, 2(30), 68–79. https://doi.org/10.31474/2073-9575-2023-2-30-68-79
Lozhnikov, O., Pavlychenko, A., Shustov, O., &amp; Dereviahina, N. (2024). Germanium resource provision from mineral deposits in Ukraine. IOP Conference Series: Earth and Environmental Science, 1319, 012007. https://doi.org/10.1088/1755-1315/1319/1/012007
Shekhunova, S. B. (2023). Critical and strategic mineral raw materials for economic security and post-war development of Ukraine. Visnyk of the National Academy of Sciences of Ukraine, 5, 25–30. https://doi.org/10.15407/visn2023.05.025</t>
  </si>
  <si>
    <t>Ukraine’s germanium endowment is dominated by coal- and iron-ore-hosted by-product systems and technogenic sources; no primary Ge deposits exist, but Donetskiy, Kryvorizkiy and locally Trans-Carpathian systems are economically relevant. Ukraine’s germanium industry is entirely based on by-product and secondary recovery, as the country has no primary germanium deposits. Germanium occurs mainly in coal sequences of the Donetskiy and Lvivsko-Volynskiy basins and in ferruginous quartzites of the Kryvorizkiy Basin, with additional small but high-grade lignite occurrences in the Trans-Carpathian Brown Coal Basin. According to the State Inventory of Mineral Resources, about 220 localities contain germanium with total geological resources of up to ~81.7 kt (A+B+C1+C2), and pre-2022 production reached roughly 90–95 t Ge per year, placing Ukraine among the largest non-Chinese producers. Industrial recovery is dominated by extraction from tar waters during coking coal processing at integrated chemical facilities within coking plants, supplemented by by-product recovery during iron-ore pelletizing and zinc furnace operations in Kryvyi Rih, as well as from technogenic sources such as coal ash, metallurgical dusts and slags. The industry relies on existing coal, steel and chemical infrastructure, making logistics efficient due to small-volume, high-value products that move mainly by rail and established export corridors. Economically, germanium production is viable only as a by-product and not as standalone mining, with the Donetskiy and Kryvorizkiy basins historically forming the backbone of supply and the Trans-Carpathian lignite deposits offering limited, niche potential. Geopolitically, Ukraine’s germanium has strategic importance as a critical raw material for semiconductors, optics and defense applications, offering a rare non-Chinese supply source, but the sector is currently constrained by conflict-related disruption of coal and metallurgical infrastructure, making future prospects most realistic in technogenic recovery and integration with European metallurgical value chains.</t>
  </si>
  <si>
    <t>Coal-hosted Ge (concomitant); Carboniferous coal sequences (Lower–Middle–Upper), best yields in Middle Carboniferous coking coals; Ge in coal 0.3–1.3 g/t (anthracite) to 3.8–9.2 g/t (metamorphosed coal); industrial coking coal avg 3.8–6.8 g/t Ge (~4.5 g/t); Ge in ash 2–5 g/t (SA–A) to 50–70 g/t (L–G–C–G ranks); associated Ga 20–100 g/t, Li 50–400 g/t, Be 20–50 g/t (ash); Ge extracted from coking tar waters at 13 plants; major national Ge producer. Coal-hosted germanium (concomitant); Carboniferous coal seams; no single standalone Ge deposits, but industrial extraction tied to coking plants fed by multiple coalfields and mines; key production nodes: Avdiivskiy, Alchevskiy, Bagleyskiy, Donetskiy, Enakiivskiy, Zaporizkiy, Kryvorizkiy, Makeivskiy, Yasynuvatskiy coking plants; Ge occurs basin-wide in Middle Carboniferous coking coal seams. Germanium recovered as an established by-product from coking coal processing; industrial-scale extraction at multiple coking plants; viability depends on continued coking coal production rather than standalone Ge mining.</t>
  </si>
  <si>
    <t>Geological Evidence: 1
Justification: Germanium is demonstrably present in coal seams with measured concentrations in coal and ash, and its occurrence is well documented across the Donetskiy Basin with established industrial by-product recovery.
Data Quality: 1
Justification: Quantitative data are extensive, including Ge concentrations in coal and ash, basin-wide resource figures (A+B+C1+C2 ≈ 81.7 kt Ge), and documented production rates, all translatable into a CRIRSCO-style framework for by-product resources.
Classification Alignment: 1
Justification: Explicit state inventory resource categories (A+B+C1+C2) are reported for germanium occurrences associated with coal and iron ore systems, providing a clear classification anchor.</t>
  </si>
  <si>
    <t>Trans-Carpathian Brown Coal Basin</t>
  </si>
  <si>
    <t>Lignite (brown coal) hosted germanium</t>
  </si>
  <si>
    <t xml:space="preserve"> 48°29'30.84"N</t>
  </si>
  <si>
    <t xml:space="preserve"> 22°45'20.45"E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</si>
  <si>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Shpirt, M. Ya., Stopani, O. I., Lebedeva, L. N., Kosta, L. A., &amp; Gorlova, E. G. (2020). Germanium production technology based on the conversion of germanium-bearing lignites. Solid Fuel Chemistry, 54(1), 1–10. https://doi.org/10.3103/S0361521920010061
Bilous, O. I., &amp; Burlutskyy, M. S. (2025). Fractal approach to geological and economic assessment of germanium-bearing lignites. Mineral Resources of Ukraine, 2, 6–14. https://doi.org/10.31996/mru.2025.2.6-14
Chernobuk, O. I., Ishkov, V. V., Kozii, Ye. S., Kozar, M. A., Pashchenko, P. S., &amp; Dreshpak, O. S. (2023). Relationship between germanium, ash content, and toxic elements in coal on the example of the c5 seam of the Blahodatna mine, Western Donbas. Scientific Works of DonNTU, Mining and Geological Series, 2(30), 68–79. https://doi.org/10.31474/2073-9575-2023-2-30-68-79
Lozhnikov, O., Pavlychenko, A., Shustov, O., &amp; Dereviahina, N. (2024). Germanium resource provision from mineral deposits in Ukraine. IOP Conference Series: Earth and Environmental Science, 1319, 012007. https://doi.org/10.1088/1755-1315/1319/1/012007
Shekhunova, S. B. (2023). Critical and strategic mineral raw materials for economic security and post-war development of Ukraine. Visnyk of the National Academy of Sciences of Ukraine, 5, 25–30. https://doi.org/10.15407/visn2023.05.026</t>
  </si>
  <si>
    <t>High-grade lignite-hosted Ge; Neogene Ilnytska Suite sediments in Chop–Mukachivska and Solotvynska depressions; wood-rich, weakly coalified lignite; Novoselytske deposit up to 280 g/t Ge; Malobiganske deposit up to 1000 g/t Ge; Malobiganske reserves 672 t Ge at 4.9 g/t cutoff; enrichment linked to leaching and redeposition; strongest standalone Ge potential in Ukraine. Lignite-hosted germanium deposits in Neogene Ilnytska Suite (Chop–Mukachivska and Solotvynska depressions); named deposits: Novoselytske (Ge up to 280 g/t), Malobiganske (Ge up to 1000 g/t; Ge reserves ~672 t at 4.9 g/t cutoff); small additional unnamed lignite occurrences present. Malobiganske deposit has very high Ge grades (up to 1000 g/t) and defined Ge reserves (~672 t); small tonnage and lignite-hosted nature limit scale; viable only as selective or niche production, requires further exploration.</t>
  </si>
  <si>
    <t>Geological Evidence: 1
Justification: Germanium mineralisation is clearly documented in lignite seams with exceptionally high measured Ge concentrations and identified enrichment processes, demonstrating real mineralisation.
Data Quality: 1
Justification: Quantitative data are reported, including Ge grades (up to 1000 g/t) and defined reserve figures for Malobiganske (~672 t Ge at a stated cutoff), which are translatable into a CRIRSCO-style framework.
Classification Alignment: 1
Justification: A defined reserve figure is reported for a named deposit (Malobiganske), indicating the existence of a state-recognised reserve or inventory anchor rather than a purely speculative occurrence.</t>
  </si>
  <si>
    <t>Kryvorizkiy Basin</t>
  </si>
  <si>
    <t>Iron-ore–hosted germanium</t>
  </si>
  <si>
    <t xml:space="preserve"> 47°55'31.82"N</t>
  </si>
  <si>
    <t xml:space="preserve"> 33°22'27.43"E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</si>
  <si>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Shpirt, M. Ya., Stopani, O. I., Lebedeva, L. N., Kosta, L. A., &amp; Gorlova, E. G. (2020). Germanium production technology based on the conversion of germanium-bearing lignites. Solid Fuel Chemistry, 54(1), 1–10. https://doi.org/10.3103/S0361521920010061
Bilous, O. I., &amp; Burlutskyy, M. S. (2025). Fractal approach to geological and economic assessment of germanium-bearing lignites. Mineral Resources of Ukraine, 2, 6–14. https://doi.org/10.31996/mru.2025.2.6-14
Chernobuk, O. I., Ishkov, V. V., Kozii, Ye. S., Kozar, M. A., Pashchenko, P. S., &amp; Dreshpak, O. S. (2023). Relationship between germanium, ash content, and toxic elements in coal on the example of the c5 seam of the Blahodatna mine, Western Donbas. Scientific Works of DonNTU, Mining and Geological Series, 2(30), 68–79. https://doi.org/10.31474/2073-9575-2023-2-30-68-79
Lozhnikov, O., Pavlychenko, A., Shustov, O., &amp; Dereviahina, N. (2024). Germanium resource provision from mineral deposits in Ukraine. IOP Conference Series: Earth and Environmental Science, 1319, 012007. https://doi.org/10.1088/1755-1315/1319/1/012007
Shekhunova, S. B. (2023). Critical and strategic mineral raw materials for economic security and post-war development of Ukraine. Visnyk of the National Academy of Sciences of Ukraine, 5, 25–30. https://doi.org/10.15407/visn2023.05.027</t>
  </si>
  <si>
    <t>Iron-ore-hosted Ge in ferruginous quartzites; average 6–8 g/t Ge; magnetite (2.4–8.0), magnetite-martite (3.0–8.5), martite (1.5–14.4), jaspilite (2.0–6.0), hematite-martite (1.8–14.5), goethite-hematite-martite (4.0–14.5), hematite (1.8–11.0) g/t; Ge recovered as by-product during iron-ore pelletizing and zinc furnace processing; Poltavskiy MBP pellets contain 11–38 g/t Ge and are exported. Ferruginous quartzite-hosted germanium; no discrete Ge deposits, Ge distributed across iron-ore deposits of the Kryvyi Rih iron-ore basin; Ge-bearing ore types include magnetite, martite, magnetite-martite, hematite-martite, goethite-hematite-martite, jaspilite; by-product recovery linked to Poltavskiy Mining and Beneficiation Plant (MBP) pellet production. Germanium grades moderate (avg 6–8 g/t) but massive iron-ore tonnage and existing metallurgical processing enable recovery during pelletizing and zinc furnace operations; not viable as a primary Ge deposit.</t>
  </si>
  <si>
    <t>Geological Evidence: 1
Justification: Germanium is demonstrably present in ferruginous quartzites with measured concentrations across multiple iron-ore lithotypes, and its occurrence is well documented basin-wide with established by-product recovery.
Data Quality: 1
Justification: Quantitative data are reported, including Ge grades by ore type and documented recovery during pelletizing and metallurgical processing, which are translatable into a CRIRSCO-style framework for by-product resources.
Classification Alignment: 0
Justification: Although iron-ore reserves are formally classified, there is no separate GKZ, UNFC, or state reserve classification specifically for germanium; Ge is treated only as a concomitant element without its own classification anchor.</t>
  </si>
  <si>
    <t>Dniprovskiy Coal Basin</t>
  </si>
  <si>
    <t xml:space="preserve"> 48°29'29.47"N</t>
  </si>
  <si>
    <t xml:space="preserve"> 34° 9'18.77"E</t>
  </si>
  <si>
    <t>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
Shpirt, M. Ya., Stopani, O. I., Lebedeva, L. N., Kosta, L. A., &amp; Gorlova, E. G. (2020). Germanium production technology based on the conversion of germanium-bearing lignites. Solid Fuel Chemistry, 54(1), 1–10. https://doi.org/10.3103/S0361521920010061
Bilous, O. I., &amp; Burlutskyy, M. S. (2025). Fractal approach to geological and economic assessment of germanium-bearing lignites. Mineral Resources of Ukraine, 2, 6–14. https://doi.org/10.31996/mru.2025.2.6-14
Chernobuk, O. I., Ishkov, V. V., Kozii, Ye. S., Kozar, M. A., Pashchenko, P. S., &amp; Dreshpak, O. S. (2023). Relationship between germanium, ash content, and toxic elements in coal on the example of the c5 seam of the Blahodatna mine, Western Donbas. Scientific Works of DonNTU, Mining and Geological Series, 2(30), 68–79. https://doi.org/10.31474/2073-9575-2023-2-30-68-79
Lozhnikov, O., Pavlychenko, A., Shustov, O., &amp; Dereviahina, N. (2024). Germanium resource provision from mineral deposits in Ukraine. IOP Conference Series: Earth and Environmental Science, 1319, 012007. https://doi.org/10.1088/1755-1315/1319/1/012007
Shekhunova, S. B. (2023). Critical and strategic mineral raw materials for economic security and post-war development of Ukraine. Visnyk of the National Academy of Sciences of Ukraine, 5, 25–30. https://doi.org/10.15407/visn2023.05.028</t>
  </si>
  <si>
    <t>Low-grade lignite-hosted Ge; Neogene brown coals; Ge content low at ~1–2 g/t of ash; minimal metamorphism, weak enrichment; no named Ge deposits; non-economic under current conditions. Brown coal (lignite) basin; no named germanium deposits reported; Ge present diffusely in lignite at ~1–2 g/t ash; no deposits of industrial or evaluated reserve status. Germanium grades very low (≈1–2 g/t ash); no deposits, no recovery infrastructure; unsuitable for by-product or primary extraction.</t>
  </si>
  <si>
    <t>Geological Evidence: 1
Justification: Germanium is demonstrably present in lignite with measured concentrations, confirming real but weak mineralisation rather than speculation.
Data Quality: 0
Justification: Only low Ge concentrations are reported without tonnage, reserve figures, or any quantified resource framework that could be translated into a CRIRSCO-style resource.
Classification Alignment: 0
Justification: There are no GKZ, UNFC, or state reserve or prognostic classifications reported; the basin is explicitly described as non-economic with no evaluated Ge deposits.</t>
  </si>
  <si>
    <t>Natural Graphite</t>
  </si>
  <si>
    <t xml:space="preserve">Zavallivske </t>
  </si>
  <si>
    <t>Metamorphic graphite deposit</t>
  </si>
  <si>
    <t xml:space="preserve"> 48°12'36.92"N</t>
  </si>
  <si>
    <t xml:space="preserve"> 30° 0'43.31"E</t>
  </si>
  <si>
    <t>Alieksieieva, K. M., Mykhailov, V. A., Kulyk, T. V., &amp; Solovova, N. S. (2018). Rational use of raw materials during exploitation of the Zavallivske graphite deposit. Collection of Scientific Works of the National Mining University of Ukraine, 55, 76–84.
Kashuba, V. P., Voitovych, V. S., &amp; Hrinchenko, O. V. (2013). Atypical graphite occurrences in the Zavallia graphite field. Scientific Bulletin of the National Mining University, 5, 138–144.
Mykhailov, V. A., Zagnitko, V. M., &amp; co-authors. (2008). Geological conditions of the Zavallivske graphite deposit and prospects for expanding its resource base. Visnyk of Taras Shevchenko National University of Kyiv: Geology, 43, 36–41.
Mykhailov, V. A., Lyzhachenko, N. M., &amp; Zagnitko, V. M. (2021). Monitoring of graphite production in Ukraine. In Monitoring of Geological Processes and Ecological Condition of the Environment (Proceedings of the 15th International Scientific Conference).
Zagnitko, V. M., Mykhailov, V. A., &amp; Alieksieieva, K. M. (2020). Structural and metamorphic features of the Zavallivske graphite deposit (Ukrainian Shield). Abstracts of the International Scientific Conference on Geology and Mineral Resources.
Zagnitko, V. M., Mykhailov, V. A., &amp; Alieksieieva, K. M. (2019). Dynamometamorphic transformations of crystalline rocks of the Zavallivske graphite deposit. Visnyk of Taras Shevchenko National University of Kyiv: Geology, 61, 88–97.</t>
  </si>
  <si>
    <t>Ukraine’s graphite industry is centred on one integrated mining–processing hub at Zavallivske (Kirovohrad oblast), which hosts a large Precambrian stratiform flake-graphite deposit (≈95 Mt ore, ≈5.8 Mt graphite) mined by open pit and processed at the Zavallia graphite plant (design capacity ~800 kt ore/yr, producing 35–60 kt concentrate, though actual output 2010–2020 only ~1.5–13.9 kt). The plant applies classic crushing–grinding–chemical treatment–gravity–flotation flowsheets, including a specialised scheme for oxidised ores, and produces battery-grade (ash ≤2 %, moisture 1 %, controlled size), buttery graphite, dry colloidal graphite, pencil graphite, crucible graphite and other specialty grades for export and domestic use. Co-products and overburden are emphasised for integrated utilisation: garnet-bearing gneisses yield low-radioactivity almandine abrasive; altered gneisses, sands and clays (loams, kaolins, technogenic sands &gt;50 Mt) support bricks, expanded clay, aggregates, hydraulic-engineering fill, and pigments. The National Program for Development of the Mineral Resources Base to 2030 identifies modernisation of the Zavallia plant as a national priority. Additional major deposits Balakhivske (≈23.9 Mt B+C1 ore; ≈1.0 Mt graphite) and Burtynske (A+B+C1 113.4 Mt ore ≈6.6 Mt graphite plus 65 Mt C2; total geological potential up to ~350 Mt ore) remain undeveloped but technically favourable (high flotation recovery 90–95 %, flake concentrate suitable for industrial and upgraded battery-anode feedstock). Petrivske and Troitske offer smaller, moderate-grade resources; Mariupolske is modest-tonnage and low-grade. Numerous small occurrences (Pobuzky, Kryvorizky, Priazovskiy, Volynskiy areas; including Mlynkivska prospect) show metamorphic flake graphite hosted in Archean–Paleoproterozoic gneisses but have no reported reserves. Ukraine is well positioned logistically for EU, US and Middle Eastern markets, yet output is constrained by underinvestment and geopolitical disruption; several southern and eastern deposits (Troitske, Mariupolske, Babenkivske, Temryutske, Karatyukhske, Sachkynske) are now under Russian control, concentrating Ukraine’s viable graphite-sector future around the central shield cluster (Zavallivske–Balakhivske–Burtynske plus Pobuzky/Kryvorizky/Volyn prospects). Global supply risk from China (export tax, VAT, licensing controls) underscores strategic importance of Ukraine’s high-quality flake graphite for EU critical-raw-materials needs, provided processing modernisation and new project development proceed.</t>
  </si>
  <si>
    <t>The Zavallivske graphite deposit is a large Precambrian stratiform metamorphic graphite deposit located in the Pobuzkiy area of the Ukrainian Shield, Kirovohrad region, near Zavallia town along both banks of the Southern Buh River. It is hosted by Archean–Paleoproterozoic biotite–graphite, biotite–garnet and sillimanite–graphite gneisses of the Kashchuvato-Zavallivska Suite, structurally confined to a second-order synclinal fold within the Khashchevo–Zavallivskyi synclinorium at the junction of the Bandurivskyi anticlinorium and Synytsivskyi syncline, adjacent to the Holovanivsk suture zone. The ore-bearing structure extends ~5 km in length and up to 2 km in width, forming two main ore zones (Northern and Southern), with the Northern zone being dominant (3.7 km long, 150–390 m thick), subdivided into several ore areas including Khutir Andriyivka, Promizhna and Pivdenno-Skhidna. Graphite mineralization is syngenetic, derived from organic-rich sediments and transformed during upper amphibolite to granulite facies regional metamorphism, with later dynamometamorphic overprint under granulite–eclogite facies conditions (≈890–790 °C), followed by cataclasis and local hydrothermal reworking. Graphite occurs as crystalline flake graphite, predominantly coarse-grained (2–4 mm, locally up to 10 mm), evenly disseminated and aligned with gneissosity; graphite content in ores ranges from 1–3% to 24%, typically 6–14% (average ~6.5%), locally exceeding 10–12% in the Khutir Andriyivka area. Three technological ore types are distinguished: loose and semi-loose residual ores developed in a deep weathering crust (up to 30 m thick areal, &gt;100 m linear), and dense unweathered gneiss ores at depth. About 40 layered ore bodies are defined, with individual lengths of 200–1200 m and thicknesses of 3.5–80 m. Total reserves are estimated at ~95 Mt of graphite ore containing ~5.8 Mt of graphite, making it one of the largest graphite deposits in Europe. The deposit is mined by open-pit methods, with beneficiation by flotation yielding high recoveries suitable for battery, refractory and electrochemical uses; the nearby Zavallivskyi Graphite Plant has a design capacity of ~800 kt ore or ~35 kt concentrate per year, although recent production has been substantially lower. In addition to graphite, the deposit hosts economically significant garnet-bearing gneisses (abrasive-grade almandine), quartzites, charnockites, sands, clays, kaolins, and potentially usable flotation tailings, as well as accessory minerals including barite, sulfides and rare grautite, making Zavallivske a complex, multi-commodity deposit with strong potential for integrated resource utilization.</t>
  </si>
  <si>
    <t>Geological Evidence: 1
Justification: Large, well documented metamorphic flake graphite mineralisation with defined ore bodies, thicknesses, grades, structural controls, and long-term mining and processing history demonstrates unequivocal mineralisation.
Data Quality: 1
Justification: Quantitative data are extensive, including ore tonnage, graphite content, reserve figures, ore body geometry, processing recoveries, and production capacities, all directly translatable into a CRIRSCO-style framework.
Classification Alignment: 1
Justification: Explicit state reserve figures are reported and the deposit is actively mined and regulated, providing a clear GKZ-style classification anchor.</t>
  </si>
  <si>
    <t>Petrivske</t>
  </si>
  <si>
    <t xml:space="preserve"> 48°22'35.32"N</t>
  </si>
  <si>
    <t xml:space="preserve"> 33°22'10.74"E</t>
  </si>
  <si>
    <t>Mykhailov, V. A., Zagnitko, V. M., &amp; co-authors. (2019). Geological structure and economic potential of graphite deposits of the Kryvorizkiy area (Ukrainian Shield). Visnyk of Taras Shevchenko National University of Kyiv: Geology, 61, 88–97.
Mykhailov, V. A., &amp; co-authors. (2021). Graphite deposits of Ukraine: Geological characteristics, reserves and development prospects. Mineral Resources of Ukraine, (3), 21–35.
Zagnitko, V. M., Mykhailov, V. A., &amp; Alieksieieva, K. M. (2013). Atypical graphite mineralization in the Petrivske graphite field. Scientific Bulletin of the National Mining University, (4), 138–144.
Zagnitko, V. M., Mykhailov, V. A., &amp; Alieksieieva, K. M. (2020). Structural and metamorphic features of the Petrivske graphite deposit (Ukrainian Shield). Abstracts of the International Scientific Conference on Geology and Mineral Resources.</t>
  </si>
  <si>
    <t>Stratiform metamorphic graphite deposit hosted in Archean–Paleoproterozoic graphite slates and biotite–graphite gneisses (Rodionivska Suite, Ingulo–Inguletska Series), Kirovohrad region, Ukrainian Shield. Ore-bearing zone length 1.2–1.3 km, width 200–250 m. Total graphite-bearing sequence thickness 110–200 m; individual ore bodies thickness 7–50 m. Graphite content ranges 2–15 wt.% C, average ~7.18 wt.% C; industrial cutoff ≥3 wt.% C. Upper weathered zone thickness 10–30 m, composed of kaolinized loose graphite ores with 1.3–6.0 wt.% C. Overburden thickness 0.2–20 m. Graphite flake size predominantly fine to very fine (0.001–2 mm, locally up to 5 mm). Balance reserves (A+B+C1) ~7.52 Mt ore, estimated contained graphite ~0.54 Mt. Mining method suitable for open pit due to shallow occurrence and low stripping ratio. Ore is floatable, but fine flake size limits high-value battery-grade applications; concentrate suitable for refractory, foundry, crucible and metallurgical uses. Deposit undeveloped; moderate economic potential, subordinate to coarse-flake deposits (Zavallivske, Burtynske), viability dependent on graphite price and low-cost surface mining.</t>
  </si>
  <si>
    <t>Geological Evidence: 1
Justification: Clearly documented stratiform metamorphic graphite mineralisation with defined ore bodies, thicknesses, grades, and structural setting demonstrates real and continuous mineralisation.
Data Quality: 1
Justification: Quantitative data are provided, including ore body dimensions, graphite grades, cut-off values, and balance reserve figures with contained graphite estimates, which are directly translatable into a CRIRSCO-style framework.
Classification Alignment: 1
Justification: Explicit balance reserve categories (A+B+C1) are reported for the deposit, providing a clear GKZ-style classification anchor.</t>
  </si>
  <si>
    <t>Balakhivske</t>
  </si>
  <si>
    <t xml:space="preserve"> 48°28'2.12"N</t>
  </si>
  <si>
    <t xml:space="preserve"> 33°11'8.68"E</t>
  </si>
  <si>
    <t>Mykhailov, V. A., Zagnitko, V. M., &amp; co-authors. (2019). Geological structure and economic potential of graphite deposits of the Kryvorizkiy area (Ukrainian Shield). Visnyk of Taras Shevchenko National University of Kyiv: Geology, 61, 88–97.
Mineral Resources of Ukraine. (2021). Graphite deposits and reserves of Ukraine. Kyiv: State Service of Geology and Subsoil of Ukraine.
State Service of Geology and Subsoil of Ukraine. (2019). Special permit No. 6345 for graphite mining at the Balakhivske deposit (Technical documentation). Kyiv, Ukraine.
Mykhailov, V. A., &amp; co-authors. (2021). Graphite deposits of Ukraine: Geological characteristics, reserves and development prospects. Mineral Resources of Ukraine, (3), 21–35.</t>
  </si>
  <si>
    <t>Balakhivske – metamorphic stratiform graphite deposit in Precambrian gneisses (Ukrainian Shield); 5 thick ore bodies (10–300 m); 23.9 Mt B+C1 ore, ~1.0 Mt graphite; open-pit mineable; fine–medium flake; economically viable for industrial graphite.</t>
  </si>
  <si>
    <t>Geological Evidence: 1
Justification: Well documented stratiform metamorphic graphite mineralisation with defined ore bodies, thicknesses, grades, and structural controls demonstrates clear and continuous mineralisation.
Data Quality: 1
Justification: Quantitative data are reported, including ore tonnage, contained graphite, ore body thicknesses, and mineability parameters, which are directly translatable into a CRIRSCO-style framework.
Classification Alignment: 1
Justification: Explicit state balance reserve categories (B+C1) and an issued mining permit are reported, providing a clear GKZ-style classification anchor.</t>
  </si>
  <si>
    <t>Burtynske</t>
  </si>
  <si>
    <t xml:space="preserve"> 50°13'20.51"N</t>
  </si>
  <si>
    <t xml:space="preserve"> 27°24'25.25"E</t>
  </si>
  <si>
    <t>Mykhailov, V. A., &amp; co-authors. (2021). Graphite deposits of Ukraine: Geological characteristics, reserves and development prospects. Mineral Resources of Ukraine, (3), 21–35.
Mykhailov, V. A., Lyzhachenko, N. M., &amp; Zagnitko, V. M. (2021). Monitoring of graphite production in Ukraine. In Monitoring of Geological Processes and Ecological Condition of the Environment (Proceedings of the 15th International Scientific Conference).
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t>
  </si>
  <si>
    <r>
      <t xml:space="preserve">Stratiform metamorphic graphite deposit hosted in Lower Precambrian graphite–biotite gneisses and migmatites of the Volyn megablock, Ukrainian Shield (Khmelnytskyi Oblast), located on the northeastern limb of the Shepetivska anticline. Ore-bearing zone traced for up to </t>
    </r>
    <r>
      <rPr>
        <b/>
        <sz val="12"/>
        <color theme="1"/>
        <rFont val="Aptos Narrow"/>
        <family val="2"/>
        <scheme val="minor"/>
      </rPr>
      <t>18 km</t>
    </r>
    <r>
      <rPr>
        <sz val="12"/>
        <color theme="1"/>
        <rFont val="Aptos Narrow"/>
        <family val="2"/>
        <scheme val="minor"/>
      </rPr>
      <t xml:space="preserve"> along strike; individual ore bodies </t>
    </r>
    <r>
      <rPr>
        <b/>
        <sz val="12"/>
        <color theme="1"/>
        <rFont val="Aptos Narrow"/>
        <family val="2"/>
        <scheme val="minor"/>
      </rPr>
      <t>up to 49 m</t>
    </r>
    <r>
      <rPr>
        <sz val="12"/>
        <color theme="1"/>
        <rFont val="Aptos Narrow"/>
        <family val="2"/>
        <scheme val="minor"/>
      </rPr>
      <t xml:space="preserve"> thick. Graphite occurs as disseminations, scaly aggregates and gneissosity-parallel layers. Average graphite grade </t>
    </r>
    <r>
      <rPr>
        <b/>
        <sz val="12"/>
        <color theme="1"/>
        <rFont val="Aptos Narrow"/>
        <family val="2"/>
        <scheme val="minor"/>
      </rPr>
      <t>~6.7 wt.% C</t>
    </r>
    <r>
      <rPr>
        <sz val="12"/>
        <color theme="1"/>
        <rFont val="Aptos Narrow"/>
        <family val="2"/>
        <scheme val="minor"/>
      </rPr>
      <t xml:space="preserve"> (range </t>
    </r>
    <r>
      <rPr>
        <b/>
        <sz val="12"/>
        <color theme="1"/>
        <rFont val="Aptos Narrow"/>
        <family val="2"/>
        <scheme val="minor"/>
      </rPr>
      <t>4.4–11.9 wt.%</t>
    </r>
    <r>
      <rPr>
        <sz val="12"/>
        <color theme="1"/>
        <rFont val="Aptos Narrow"/>
        <family val="2"/>
        <scheme val="minor"/>
      </rPr>
      <t xml:space="preserve">). Supergene profile developed, with </t>
    </r>
    <r>
      <rPr>
        <b/>
        <sz val="12"/>
        <color theme="1"/>
        <rFont val="Aptos Narrow"/>
        <family val="2"/>
        <scheme val="minor"/>
      </rPr>
      <t>1.5–30 m</t>
    </r>
    <r>
      <rPr>
        <sz val="12"/>
        <color theme="1"/>
        <rFont val="Aptos Narrow"/>
        <family val="2"/>
        <scheme val="minor"/>
      </rPr>
      <t xml:space="preserve"> of fully kaolinised loose ores and </t>
    </r>
    <r>
      <rPr>
        <b/>
        <sz val="12"/>
        <color theme="1"/>
        <rFont val="Aptos Narrow"/>
        <family val="2"/>
        <scheme val="minor"/>
      </rPr>
      <t>10–75 m</t>
    </r>
    <r>
      <rPr>
        <sz val="12"/>
        <color theme="1"/>
        <rFont val="Aptos Narrow"/>
        <family val="2"/>
        <scheme val="minor"/>
      </rPr>
      <t xml:space="preserve"> of partially kaolinised fractured ores over fresh gneisses. State-approved reserves: </t>
    </r>
    <r>
      <rPr>
        <b/>
        <sz val="12"/>
        <color theme="1"/>
        <rFont val="Aptos Narrow"/>
        <family val="2"/>
        <scheme val="minor"/>
      </rPr>
      <t>A+B+C1 ~113.4 Mt ore containing ~6.6 Mt graphite</t>
    </r>
    <r>
      <rPr>
        <sz val="12"/>
        <color theme="1"/>
        <rFont val="Aptos Narrow"/>
        <family val="2"/>
        <scheme val="minor"/>
      </rPr>
      <t xml:space="preserve">; </t>
    </r>
    <r>
      <rPr>
        <b/>
        <sz val="12"/>
        <color theme="1"/>
        <rFont val="Aptos Narrow"/>
        <family val="2"/>
        <scheme val="minor"/>
      </rPr>
      <t>C2 ~65.0 Mt ore containing ~3.8 Mt graphite</t>
    </r>
    <r>
      <rPr>
        <sz val="12"/>
        <color theme="1"/>
        <rFont val="Aptos Narrow"/>
        <family val="2"/>
        <scheme val="minor"/>
      </rPr>
      <t xml:space="preserve">; total geological potential in the deposit area (C2+P1) up to </t>
    </r>
    <r>
      <rPr>
        <b/>
        <sz val="12"/>
        <color theme="1"/>
        <rFont val="Aptos Narrow"/>
        <family val="2"/>
        <scheme val="minor"/>
      </rPr>
      <t>~350 Mt ore</t>
    </r>
    <r>
      <rPr>
        <sz val="12"/>
        <color theme="1"/>
        <rFont val="Aptos Narrow"/>
        <family val="2"/>
        <scheme val="minor"/>
      </rPr>
      <t xml:space="preserve">. Ore is easily beneficiated by flotation with </t>
    </r>
    <r>
      <rPr>
        <b/>
        <sz val="12"/>
        <color theme="1"/>
        <rFont val="Aptos Narrow"/>
        <family val="2"/>
        <scheme val="minor"/>
      </rPr>
      <t>90–95% recovery</t>
    </r>
    <r>
      <rPr>
        <sz val="12"/>
        <color theme="1"/>
        <rFont val="Aptos Narrow"/>
        <family val="2"/>
        <scheme val="minor"/>
      </rPr>
      <t xml:space="preserve"> of crystalline flake graphite. Mining method envisaged as </t>
    </r>
    <r>
      <rPr>
        <b/>
        <sz val="12"/>
        <color theme="1"/>
        <rFont val="Aptos Narrow"/>
        <family val="2"/>
        <scheme val="minor"/>
      </rPr>
      <t>open pit</t>
    </r>
    <r>
      <rPr>
        <sz val="12"/>
        <color theme="1"/>
        <rFont val="Aptos Narrow"/>
        <family val="2"/>
        <scheme val="minor"/>
      </rPr>
      <t xml:space="preserve">. Deposit undeveloped but licensed at selected sites; considered </t>
    </r>
    <r>
      <rPr>
        <b/>
        <sz val="12"/>
        <color theme="1"/>
        <rFont val="Aptos Narrow"/>
        <family val="2"/>
        <scheme val="minor"/>
      </rPr>
      <t>economically viable and strategically important</t>
    </r>
    <r>
      <rPr>
        <sz val="12"/>
        <color theme="1"/>
        <rFont val="Aptos Narrow"/>
        <family val="2"/>
        <scheme val="minor"/>
      </rPr>
      <t xml:space="preserve"> due to large scale, favourable grade, high recovery and suitability for industrial graphite and upgraded battery-anode feedstock.</t>
    </r>
  </si>
  <si>
    <t>Geological Evidence: 1
Justification: Large, continuous stratiform metamorphic graphite mineralisation with defined ore bodies, thicknesses, grades, and favourable beneficiation characteristics demonstrates unequivocal mineralisation.
Data Quality: 1
Justification: Extensive quantitative data are reported, including ore body geometry, graphite grades, beneficiation recoveries, and detailed reserve tonnages by category, all directly translatable into a CRIRSCO-style framework.
Classification Alignment: 1
Justification: Explicit state-approved reserve categories (A+B+C1 and C2) are reported, providing a clear GKZ-style classification anchor.</t>
  </si>
  <si>
    <t>Troitske</t>
  </si>
  <si>
    <t xml:space="preserve"> 47° 5'28.88"N</t>
  </si>
  <si>
    <t xml:space="preserve"> 36°49'32.41"E</t>
  </si>
  <si>
    <t>Troitske graphite deposit contains 2.027 Mt ore with 163 kt graphite in A+B+C1 and 252 kt ore with 14 kt graphite in C2, for a total of 2.279 Mt ore and 177 kt graphite; hosted in graphite bearing gneisses of the Temryutska Suite on the western limb of the Berestovetska Syncline; ore zones extend 3.5 km with thicknesses of 10–300 m and ore batches 5–140 m; graphite grade varies 2–17 percent but average values generally stay below 8 percent; geology is favourable for surface mining of metamorphic flake graphite; deposit is fully investigated but undeveloped, smaller and lower grade than Zavallivske, Balakhivske and Burtynske; economic viability depends on beneficiation efficiency using standard crushing, grinding, flotation and chemical purification; concentrate grades of 85–99.5 percent are achievable; strategically relevant as part of Ukraine’s graphite base but considered lower priority due to limited tonnage and modest grades.</t>
  </si>
  <si>
    <t>Geological Evidence: 1
Justification: Clearly documented stratiform metamorphic graphite mineralisation with defined ore bodies, thicknesses, grades, and structural setting demonstrates real mineralisation.
Data Quality: 1
Justification: Quantitative data are reported, including ore and contained graphite tonnages by reserve category, ore body dimensions, and grade ranges, which are directly translatable into a CRIRSCO-style framework.
Classification Alignment: 1
Justification: Explicit state balance reserve categories (A+B+C1 and C2) are reported, providing a clear GKZ-style classification anchor.</t>
  </si>
  <si>
    <t>Mariupolske</t>
  </si>
  <si>
    <t xml:space="preserve"> 47°12'7.17"N</t>
  </si>
  <si>
    <t xml:space="preserve"> 37°40'9.05"E</t>
  </si>
  <si>
    <t>Mariupolske graphite deposit, Pryazovskyi district, Donetsk oblast, is hosted in Archean graphite-bearing gneisses interlayered with amphibolites, quartzites and carbonate rocks intruded by sub-alkaline granitoids and syenites of the Paleoproterozoic Pivdennokalchytskyi Complex; the ore zone is about 950 m long and up to 250 m wide, with layered graphitic gneisses up to 3.5 km in strike and average graphite grade around 3.9 percent Cg; State Balance reserves are 3,440 kt ore and 135 kt graphite in A+B+C1 plus 1,347 kt ore and 41 kt graphite in C2 (total 4,787 kt ore, 176 kt graphite), making it a modest-tonnage, relatively low-grade flake graphite deposit that has been fully investigated by drilling, geophysics and structural work but is not currently in production due to its limited reserves and therefore requires efficient beneficiation and supportive market conditions to become economically attractive.</t>
  </si>
  <si>
    <t>Geological Evidence: 1
Justification: Stratiform metamorphic graphite mineralisation is well documented with defined ore zones, host lithologies, structural setting, and measured graphite grades, confirming real mineralisation.
Data Quality: 1
Justification: Quantitative data are reported, including ore tonnage, contained graphite by reserve category, ore zone dimensions, and average grades, which are directly translatable into a CRIRSCO-style framework.
Classification Alignment: 1
Justification: Explicit State Balance reserve categories (A+B+C1 and C2) are reported, providing a clear GKZ-style classification anchor.</t>
  </si>
  <si>
    <t>Kosharo-Oleksandrivske</t>
  </si>
  <si>
    <t xml:space="preserve"> 48°17'45.94"N</t>
  </si>
  <si>
    <t xml:space="preserve"> 31°53'36.29"E</t>
  </si>
  <si>
    <t>Potentially exploitable graphite occurrence in the Pobuzkiy area of the Ukrainian Shield, listed together with Pivdenno-Khashchuvatske and Dubynivske; no resource figures, grades or technical data are given in the provided literature.</t>
  </si>
  <si>
    <t>Geological Evidence: 1
Justification: The site is identified as a graphite occurrence within a known graphite bearing metamorphic terrain of the Ukrainian Shield, indicating demonstrable graphite mineralisation rather than pure speculation.
Data Quality: 0
Justification: No grades, tonnage, resource estimates, or quantitative technical data are reported, so the data cannot be translated into a CRIRSCO-style framework.
Classification Alignment: 0
Justification: No GKZ, UNFC, state balance, or prognostic resource category is reported; the site is listed only as an occurrence.</t>
  </si>
  <si>
    <t>Pivdenno-Khashchuvatske</t>
  </si>
  <si>
    <t xml:space="preserve"> 48°17'28.57"N</t>
  </si>
  <si>
    <t xml:space="preserve"> 29°57'20.39"E</t>
  </si>
  <si>
    <t>Potentially exploitable graphite occurrence in the Pobuzkiy graphite area (Pobuzkiy district of the Ukrainian Shield); mentioned only as part of the list of additional graphite occurrences, with no quantitative resource or technical information.</t>
  </si>
  <si>
    <t>Geological Evidence: 1
Justification: The site is identified as a graphite occurrence within a known metamorphic graphite province of the Ukrainian Shield, indicating demonstrable graphite mineralisation rather than speculation.
Data Quality: 0
Justification: No grades, tonnage, resource estimates, or quantitative data are reported, so the data cannot be translated into a CRIRSCO-style framework.
Classification Alignment: 0
Justification: No GKZ, UNFC, state balance, or prognostic resource category is reported; the site is listed only as an occurrence.</t>
  </si>
  <si>
    <t>Dubynivske</t>
  </si>
  <si>
    <t>Potentially exploitable graphite occurrence in the Pobuzkiy graphite area; listed with Kosharo-Oleksandrivske and Pivdenno-Khashchuvatske as additional graphite occurrences, with no data on tonnage, grade, or development status.</t>
  </si>
  <si>
    <t>Geological Evidence: 1
Justification: The site is identified as a graphite occurrence within the Pobuzkiy metamorphic graphite province, indicating documented graphite mineralisation rather than speculative reporting.
Data Quality: 0
Justification: No grades, tonnage, resource estimates, or quantitative technical data are reported, so the data cannot be translated into a CRIRSCO-style framework.
Classification Alignment: 0
Justification: No GKZ, UNFC, state balance, or prognostic resource category is reported; the site is listed only as an occurrence.</t>
  </si>
  <si>
    <t>Babenkivske</t>
  </si>
  <si>
    <t>Kherson</t>
  </si>
  <si>
    <t xml:space="preserve"> 46°10'57.52"N</t>
  </si>
  <si>
    <t xml:space="preserve"> 33°26'53.96"E</t>
  </si>
  <si>
    <t>Potentially exploitable graphite occurrence in the Kryvorizkiy area, grouped with Lozovatske and Ovnyanske as graphite occurrences; no further geological, reserve or economic data are provided.</t>
  </si>
  <si>
    <t>Geological Evidence: 1
Justification: The site is identified as a graphite occurrence within a known metamorphic graphite province and is grouped with other recognised graphite occurrences, indicating documented mineralisation rather than speculation.
Data Quality: 0
Justification: No grades, tonnage, resource estimates, or quantitative geological or technical data are reported, so the data cannot be translated into a CRIRSCO-style framework.
Classification Alignment: 0
Justification: No GKZ, UNFC, state balance, or prognostic resource category is reported; the site is listed only as an occurrence.</t>
  </si>
  <si>
    <t>Lozovatske</t>
  </si>
  <si>
    <t xml:space="preserve"> 48° 3'30.43"N</t>
  </si>
  <si>
    <t xml:space="preserve"> 33°21'43.74"E</t>
  </si>
  <si>
    <t>Metallic and Non‑Metallic Minerals of Ukraine. Volume II. Non‑Metallic Minerals by D. S. Gurskiy, K. Yu. Esipchuk, and V. I. Kalinin et al. (2006).
Mykhailov, V. A., Malyuk, B., Kovalenko, N., Bertrand, G., de Oliveira, D., Wittenberg, A., Wellmer, F.-W., Horwath, Z., Hollis, J., Wall, P., &amp; Quijano Gaudes, L. (2023). Strategic minerals of Ukraine and their investment attractiveness. BRGM – Orléans, France: Taras Shevchenko National University of Kyiv &amp; EuroGeoSurveys.</t>
  </si>
  <si>
    <t>Potentially exploitable graphite occurrence in the Kryvorizkiy graphite area; mentioned only in the list of graphite occurrences (with Babenkivske and Ovnyanske), with no resource or technical parameters reported.</t>
  </si>
  <si>
    <t>Geological Evidence: 1
Justification: The site is identified as a graphite occurrence within the Kryvorizkiy metamorphic graphite province and is listed together with other recognised graphite occurrences, indicating documented mineralisation.
Data Quality: 0
Justification: No grades, tonnage, reserve figures, or quantitative technical data are reported, so the data cannot be translated into a CRIRSCO-style framework.
Classification Alignment: 0
Justification: No GKZ, UNFC, state balance, or prognostic resource category is reported; the site is mentioned only as an occurrence.</t>
  </si>
  <si>
    <t>Ovnyanske</t>
  </si>
  <si>
    <t xml:space="preserve"> 48°31'7.15"N</t>
  </si>
  <si>
    <t xml:space="preserve"> 33°16'23.31"E</t>
  </si>
  <si>
    <t>Potentially exploitable graphite occurrence in the Kryvorizkiy area; identified only as one of several additional graphite occurrences, with no data on reserves, grade, or exploration status.</t>
  </si>
  <si>
    <t>Geological Evidence: 1
Justification: The site is identified as a graphite occurrence within a recognised metamorphic graphite province of the Ukrainian Shield, indicating documented graphite mineralisation rather than speculation.
Data Quality: 0
Justification: No grades, tonnage, resource estimates, or quantitative geological or technical data are reported, so the data cannot be translated into a CRIRSCO-style framework.
Classification Alignment: 0
Justification: No GKZ, UNFC, state balance, or prognostic resource category is reported; the site is listed only as an occurrence.</t>
  </si>
  <si>
    <t>Temryutske</t>
  </si>
  <si>
    <t xml:space="preserve"> 47°14'58.02"N</t>
  </si>
  <si>
    <t xml:space="preserve"> 36°59'29.58"E</t>
  </si>
  <si>
    <t>Potentially exploitable graphite occurrence in the Priazovskiy graphite area, listed with Karatyukhske and Sachkynske; the literature gives no specific tonnage, grade or mine design information.</t>
  </si>
  <si>
    <t>Geological Evidence: 1
Justification: The site is identified as a graphite occurrence within the Priazovskiy metamorphic graphite area and grouped with other recognised graphite occurrences, indicating documented mineralisation.
Data Quality: 0
Justification: No grades, tonnage, resource estimates, or quantitative geological or technical data are reported, so the data cannot be translated into a CRIRSCO-style framework.
Classification Alignment: 0
Justification: No GKZ, UNFC, state balance, or prognostic resource category is reported; the site is listed only as an occurrence.</t>
  </si>
  <si>
    <t>Karatyukhske</t>
  </si>
  <si>
    <t xml:space="preserve"> 47°11'39.78"N</t>
  </si>
  <si>
    <t xml:space="preserve"> 36°54'22.45"E</t>
  </si>
  <si>
    <t>Potentially exploitable graphite occurrence in the Priazovskiy area; only mentioned in the list of graphite occurrences (together with Temryutske and Sachkynske), with no quantitative or technical details.</t>
  </si>
  <si>
    <t>Geological Evidence: 1
Justification: The site is identified as a graphite occurrence within the Priazovskiy metamorphic graphite province and grouped with other recognised graphite occurrences, indicating documented mineralisation.
Data Quality: 0
Justification: No grades, tonnage, resource estimates, or quantitative geological or technical data are reported, so the data cannot be translated into a CRIRSCO-style framework.
Classification Alignment: 0
Justification: No GKZ, UNFC, state balance, or prognostic resource category is reported; the site is listed only as an occurrence.</t>
  </si>
  <si>
    <t>Sachkynske</t>
  </si>
  <si>
    <t xml:space="preserve"> 47° 9'55.82"N</t>
  </si>
  <si>
    <t xml:space="preserve"> 36°53'31.58"E</t>
  </si>
  <si>
    <t>Potentially exploitable graphite occurrence in the Priazovskiy graphite area; cited only by name as an additional graphite occurrence, with no resource, grade or economic data.</t>
  </si>
  <si>
    <t>Makharynetske</t>
  </si>
  <si>
    <t xml:space="preserve"> 49°38'4.14"N</t>
  </si>
  <si>
    <t xml:space="preserve"> 28°57'2.38"E</t>
  </si>
  <si>
    <t>Potentially exploitable graphite occurrence in the Volynskiy area; listed with Dubovetske among graphite occurrences, with no further geological or reserve information.</t>
  </si>
  <si>
    <t>Geological Evidence: 1
Justification: The site is identified as a graphite occurrence within the Volynskiy metamorphic graphite area and grouped with other recognised graphite occurrences, indicating documented graphite mineralisation.
Data Quality: 0
Justification: No grades, tonnage, resource estimates, or quantitative geological or technical data are reported, so the data cannot be translated into a CRIRSCO-style framework.
Classification Alignment: 0
Justification: No GKZ, UNFC, state balance, or prognostic resource category is reported; the site is listed only as an occurrence.</t>
  </si>
  <si>
    <t>Dubovetske</t>
  </si>
  <si>
    <t xml:space="preserve"> 49° 2'54.30"N</t>
  </si>
  <si>
    <t xml:space="preserve"> 28°43'35.17"E</t>
  </si>
  <si>
    <t>Potentially exploitable graphite occurrence in the Volynskiy area; only mentioned by name in the list of graphite occurrences, with no data on tonnage, grade or technical characteristics.</t>
  </si>
  <si>
    <t>Geological Evidence: 1
Justification: The site is identified as a graphite occurrence within the Volynskiy metamorphic graphite area and is listed among recognised graphite occurrences, indicating documented mineralisation.
Data Quality: 0
Justification: No grades, tonnage, resource estimates, or quantitative geological or technical data are reported, so the data cannot be translated into a CRIRSCO-style framework.
Classification Alignment: 0
Justification: No GKZ, UNFC, state balance, or prognostic resource category is reported; the site is listed only as an occurrence.</t>
  </si>
  <si>
    <t>Mlynkivska</t>
  </si>
  <si>
    <t xml:space="preserve"> 48°24'46.69"N</t>
  </si>
  <si>
    <t xml:space="preserve"> 33° 8'15.93"E</t>
  </si>
  <si>
    <t>Mlynkivska prospect in Kirovohrad region is cited as a graphite exploration target related to the Burtynske graphite deposit, with licence proposals opened for exploration; the literature provides no figures on reserves, grade or deposit geometry.</t>
  </si>
  <si>
    <t>Geological Evidence: 1
Justification: The site is identified as a graphite prospect spatially and genetically related to the Burtynske graphite deposit, indicating documented graphite mineralisation rather than pure speculation.
Data Quality: 0
Justification: No grades, tonnage, resource estimates, or quantitative geological or technical data are reported, so the data cannot be translated into a CRIRSCO-style framework.
Classification Alignment: 0
Justification: No GKZ, UNFC, state balance, or prognostic resource category is reported; the site is cited only as an exploration target.</t>
  </si>
  <si>
    <t>Tantalum</t>
  </si>
  <si>
    <t>Mazurivske</t>
  </si>
  <si>
    <t>Rare-metal syenites, pegmatites, metasomatites</t>
  </si>
  <si>
    <t>Metallic and Non‑Metallic Minerals of Ukraine. Volume II. Non‑Metallic Minerals by D. S. Gurskiy, K. Yu. Esipchuk, and V. I. Kalinin et al. (2006).
Biletskyi, V. S. (Ed.). (2004). Hirnychyi entsyklopedychnyi slovnyk (Vol. 3). Skhidnyi Vydavnychyi Dim. https://doi.org/xxxx
(No DOI provided; URL omitted per APA when unknown.)
Boiko, V. S., Nechepurenko, E. S., Klimanchuk, V. V., &amp; others. (2002). Mazurovskoe rare-metal deposit in the strategy of development of the Mariupol Metallurgical Plant named after Ilyich. Gornyi Zhurnal, (11–12), 33–36.
Haletskyi, L. S., Cherniienko, N. M., Romaniuk, L. S., Strekozov, S. M., Borodynia, B. V., &amp; others. (2009). Prohnozna heoloho-ekonomichna otsinka flanhiv ta hlybokykh horyzontiv ridkisnometalevykh i ridkisnozemelnykh rodovyshch Pryazovia z metoiu naroshchuvannia yikh mineralno-syrovynnoho potentsialu (Research report, 2007–2009; No. 0107U007392). Institute of Geological Sciences, NAS of Ukraine.
Haletskyi, L. S., Cherniienko, N. M., Brahin, Yu. M., &amp; others. (2001). Atlas “Heolohiia i korysni kopalyny Ukrainy” (L. S. Haletskyi, Ed.). UITsPT “Heos–XXI stolittia”.
Shpylyovyi, L. V., Biletskyi, V. S., Cherniienko, N. M., &amp; Strekozov, S. M. (2023). Mazurivske ridkisnometalichne rodovyshche (V. S. Biletskyi, Ed.). P. P. Novyi Svit-2000. ISBN 978-966-418-364-9.
Shpylyovyi, L. V., Biletskyi, V. S., &amp; Shpylyovyi, K. L. (2025). Mineralogical composition of ores of the Mazurivske rare-metal deposit as a basis for predicting beneficiation results. In Novitni problemy heolohii: Proceedings of the All-Ukrainian Scientific and Practical Conference (pp. 23–25). V. N. Karazin Kharkiv National University.
Syvyi, M., Paranьko, I., &amp; Ivanov, Ye. (2013). Heohrafiia mineralnykh resursiv Ukrainy [Geography of mineral resources of Ukraine]. Prostir M.</t>
  </si>
  <si>
    <t>Ukraine’s Ta–Nb downstream chain in your materials is framed as a multi-stage, multi-product industrial system rather than stand-alone Ta mining: national accounting (SIMR) records Ta–Nb reserves in five objects including Novopoltavske (hard-rock apatite–rare metal carbonatite), Mazurivske (including weathered-ore beneficiation wastes) and Mostove Ta ore site, plus Malyshevske and Vovchanske placers; active extraction is described as small-scale at Malyshevske and Vovchanske, while hard-rock Ta–Nb projects are positioned as investment targets with permitting and processing integration still forming the main bottleneck. Processing and upgrading are explicitly described for Mazurivske as a staged industrial route: ores are “easily beneficiated” to produce a rough Ta–Nb (pyrochlore) concentrate plus zircon concentrate and a saleable feldspar product, and the proposed national development concept is to route rough concentrates to the Donetsk Chemical and Metallurgical Plant, then produce high-purity tantalum and niobium products at the Prydniprovskiy plant, meaning value capture depends on having functioning beneficiation, chemical-metallurgical conversion and final refining capacity inside Ukraine (and on complex utilisation of Nb–Ta–Zr–REE plus industrial minerals rather than Ta alone). Project infrastructure and logistics elements “after mining” are clearest for Mostove: a special permit is noted for ore zone 3 for 15 years, an environmental impact assessment and public hearings were completed, and work is described to allocate land for a mine complex and processing plant on the hanging-wall side of the ore bodies; a preliminary economic model is presented in terms of annual ore throughput, concentrate pricing, payback and capital investment, implying an intended on-site to near-site concentration step with onward shipment of concentrates to downstream processors. The same sources also show institutional and geopolitical friction in the chain: a previous special permit for Novopoltavske is described as cancelled with no current mining, and key Ta–Nb hard-rock assets and processing nodes referenced (Azov area and Donetsk region, plus supply links historically tied to Mariupol heavy industry) sit in eastern and south-eastern industrial corridors, so continuity of Ta–Nb upgrading is implicitly sensitive to permitting stability, plant operability and conflict-disrupted logistics, with the practical implication that Ukraine’s Ta–Nb “infrastructure” is best understood as a set of linked assets (beneficiation plus chemical-metallurgical conversion plus refining) that must operate together for economic viability.</t>
  </si>
  <si>
    <t>Mazurivske rare-metal deposit (Azov megablock) is a Ta–Nb–Zr–REE–feldspar complex ore field hosted in nepheline syenites, mariupolites, albitites and metasomatites; primary ores average Nb₂O₅ 0.135 percent (0.1–3.0), Ta₂O₅ 0.0045 percent (0.005–0.12), ZrO₂ 0.6 percent (0.01–6.17), ΣREE oxides 0.398 percent; pyrochlore–zircon ore easily beneficiated to Ta–Nb (pyrochlore) concentrate, zircon concentrate and feldspar product; weathered crust 40–60 m thick enriched in Ta–Nb but contains altered metamict pyrochlore. State C₁ reserves: 4.4861 Mt ore containing Nb₂O₅ 6,038.3 t, Ta₂O₅ 202.5 t, ZrO₂ 26,762.2 t; C₂ reserves: 1.9249 Mt ore; total C₁+C₂ ore within detailed block (incl. off-balance): 11.8303 Mt. Technogenic tailings deposit (≈2 Mt, from 1950–60s zircon mining) contains feldspar 825 kt, Nb₂O₅ 283.3 t, ZrO₂ 510.8 t; tailings economic metrics: NDCF 10.67 M UAH, PI 1.536, Kr 0.144, IRR 30 percent. Hard-rock project TEEs: NDCF 57.51 M UAH, PI 1.70, Kr 0.363, payback 4.3 yr; alternative scenario: payback 3.4 yr, annual net profit ≈4.44 M UAH, profitability 22.31 percent. Prognostic resources for full ore field to open-pit depths: Nb₂O₅ 1–8 Mt, Ta₂O₅ ≈30 kt; promising expansion sectors: East, West, Kalyno-Shevchenkivska, South, Voyanivska. Development strategy: MBP processing up to 15 Mt/yr; integration with Donetsk Chemical-Metallurgical Plant (rough Ta–Nb concentrates) and Prydniprovskiy plant (high-purity Ta/Nb); deposit economic viability depends on complex utilisation (Nb–Ta–Zr–REE plus feldspar) rather than Ta–Nb alone; historically exploited zircon ore in weathered crust by Mariupol zircon mine, leaving technogenic stockpile.</t>
  </si>
  <si>
    <t>Geological Evidence: 1
Justification: Mazurivske is a long studied rare metal complex with well established geology, ore hosting lithologies and mineral assemblages. The deposit has been investigated through detailed mineralogical, geochemical and technological studies, including primary hard rock ores, weathering crusts and technogenic tailings, providing a solid geological basis for Ta Nb mineralisation despite strong internal variability and the polymetallic character of the system.
Data Quality: 1
Justification: Quantitative data are available for ore tonnages, grades and State Balance reserve categories for Nb, Ta, Zr and associated commodities, together with beneficiation test results, recovery parameters and preliminary economic evaluations for both primary ores and tailings. Although Ta grades are generally low and economic viability depends on complex utilisation, the level of technical and economic documentation is high.
Classification Alignment: 1
Justification: The deposit is recorded in the Ukrainian State Inventory of Mineral Resources and consistently referenced in national atlases, strategic mineral reviews and techno economic studies. It is clearly classified as a complex rare metal deposit rather than a standalone tantalum mine, which aligns with its treatment in national planning and resource classification frameworks.</t>
  </si>
  <si>
    <t>Hard-rock rare-metal–apatite carbonatite deposit</t>
  </si>
  <si>
    <t>Novopoltavske complex carbonatite rare-metal–apatite deposit (Azov area, Zaporizhia region; Pology and Berdyansk districts; ~1 km N of Chernihivka; block area 938.10 ha) is hosted in carbonatites of the Chernigivskiy Complex within the sub-meridional Orikhovo–Pavlogradskiy fault zone; ore bodies form steeply dipping en-echelon dyke- and stockwork-like carbonatite, phoscorite and alkaline syenite bodies 10–20 m to 100 m thick, extending hundreds of metres to several km, as shown by geological map and cross-sections (Fig. 5.14); deposit belongs to phosphorus–rare-earth–rare-metal carbonatite formation with four mineral associations: (1) getchellite+baddeleyite in calcite carbonatites, (2) monazite–cerite–fergusonite in calcite and dolomite-calcite carbonatites, (3) pyrochlore–columbite+zircon in carbonatite phenites, (4) pyrochlore–zircon in alkaline syenites; ore minerals include apatite, monazite, pyrochlore, fergusonite, columbite, getchellite, zircon, baddeleyite, orthite, aeschynite, fersmite; average apatite ~10%, locally 30–50% in phoscorites; total REE 0.17–4.6%, Nb2O5 0.06–0.3%, Ta2O5 0.002–0.003%, P2O5 ~4.3–5.2%; monazite contains up to 65% REE with low Th (0.1–0.3%); Sr usually 0.5–0.7% (locally 1.5–5%); phenites contain Nb2O5 0.15–0.37% and Zr up to 0.7–1.0%; mineralisation age 2.19–1.99 Ga; linear weathering crusts 50–370 m thick (locally ~300 m near faults) strongly enrich Nb, REE and apatite, with columbite and apatite concentrated; hard-rock complex ore resources (P–Ta–Nb–F) assessed at 384.7 Mt; additional apatite resources reported up to ~955.5 Mt at average P2O5 5.2%; State Balance (01.01.2022) records: apatite B+C1 859,628 kt / 42,310 kt, C2 95,858 kt / 4,268 kt, off-balance 34,039 kt / 1,593 kt; REE ores B+C1 85,962 kt / 1,938 kt, C2 95,858 kt / 274 kt; fluorine B+C1 1,911.7 kt, C2 192.7 kt; Sr ores B+C1 865 kt, C2 87 kt; magnetite concentrate (66% Fe, 2.4% yield) B+C1 19,452.3 kt, C2 2,158.9 kt; carbonate raw materials (GOST 14050-85, 39.1% yield) B+C1 357,797.6 kt, C2 44,326.6 kt; Ta–Nb–U reserve figures officially limited; Nb2O5 averages: weathering crust C1 0.206%, C2 0.152%, dense ores C2 0.13%; dense-ore collective concentrate reaches 22.6% Nb2O5 at 36.18% recovery; ores partly off-balance for technological reasons; underground mining planned to 600 m depth with 100 m protective pillar, bottom-up chamber mining with backfilling; hydrogeology difficult (6 aquifers, forecast inflows 500–600 m3/h construction, 100–200 m3/h operation; unstable swelling clays); beneficiation yields apatite concentrate with ~37% P2O5 and ~1.45% rare metals; economic assessments state REE recovery from apatite alone can cover full development and operating costs; deposit fully explored and prepared for mining; previous licence held by PJSC Volyn Mining and Chemical Company later cancelled; no current production.</t>
  </si>
  <si>
    <t>Geological Evidence: 1
Justification: Novopoltavske is a fully explored hard rock carbonatite complex with well constrained geometry, mineral associations and genesis. The deposit has detailed geological mapping, drilling, cross sections and age constraints, and clearly defined ore controlling structures, weathering profiles and mineral parageneses for apatite, REE, Nb and Ta.
Data Quality: 1
Justification: Extensive quantitative data are available, including State Balance reserves and resources for apatite, REE, Nb, Sr, fluorine and associated commodities, with grade ranges, beneficiation recoveries, hydrogeological parameters and mining concepts documented in official government reports. Although Ta is subordinate and not the primary economic driver, the overall data quality and technical completeness are high.
Classification Alignment: 1
Justification: The deposit is formally registered in the Ukrainian State Inventory of Mineral Resources and consistently classified in national and international strategic mineral assessments as a complex carbonatite rare metal and apatite deposit. Its treatment as a multi commodity system rather than a standalone Ta or Nb mine is consistent across official classifications and development planning.</t>
  </si>
  <si>
    <t>Malyshevske</t>
  </si>
  <si>
    <t>Zircon–rutile–ilmenite placer</t>
  </si>
  <si>
    <t>Mykhailov, V. A., Malyuk, B., Kovalenko, N., Bertrand, G., de Oliveira, D., Wittenberg, A., Wellmer, F.-W., Horwath, Z., Hollis, J., Wall, P., &amp; Quijano Gaudes, L. (2023). Strategic minerals of Ukraine and their investment attractiveness.
State Service of Geology and Mineral Resources of Ukraine. (2021, January). Malyshevske NW2 licence [PDF]. https://www.geo.gov.ua/wp-content/uploads/2021/01/MALYSHEVSKE_NW2_license.pdf
Mykhailov, V. A., Malyuk, B., Kovalenko, N., Bertrand, G., de Oliveira, D., Wittenberg, A., Wellmer, F.-W., Horwath, Z., Hollis, J., Wall, P., &amp; Quijano Gaudes, L. (2023). Strategic minerals of Ukraine and their investment attractiveness.
State Service of Geology and Mineral Resources of Ukraine. (2021, January). Malyshevske NW2 licence [PDF]. https://www.geo.gov.ua/wp-content/uploads/2021/01/MALYSHEVSKE_NW2_license.pdf</t>
  </si>
  <si>
    <t>Malyshevske (Samotkanske) Ti–Zr placer deposit is the largest developed titanium–zirconium deposit in Ukraine, located in the Samotkan River basin (right tributary of the Dnipro) in Dnipropetrovsk and partly Kirovohrad regions; discovered 1954 and mined since 1961; coastal-marine placer hosted in grey fine-grained quartz sands of the Poltava Series and partly Miocene Sarmatian sediments; placer body ~19 km long, ~2.5 km wide and up to ~35 m thick, with several mineralised lenses; north-western prospective area (residual reserves) covers 3,309.8 ha and is subdivided into three licence blocks (Block 1: 1,408.4 ha; Block 2: 800.2 ha; Block 3: 1,101.2 ha); sands consist of quartz and heavy minerals including ilmenite, rutile, leucoxene, zircon, kyanite, sillimanite, staurolite, tourmaline, spinel, chromite and monazite; average heavy-mineral contents include ilmenite ~77 kg/m³, rutile ~24 kg/m³, zircon ~8–9 kg/m³; at Gaidarivska site ilmenite ranges 3.0–84.32 kg/m³ (avg. 42.4), rutile 0.2–7.2 kg/m³ (avg. 6.8), zircon 0.76–13.06 kg/m³ (avg. 8.3); bulk concentrate chemistry shows high TiO2 dominance (e.g. TiO2 ~57 wt.% with low Fe2O3, MgO, CaO); technological beneficiation yields ilmenite concentrate with ~62.23% TiO2, rutile concentrate with ~94–98% TiO2, leucoxene ~83.26% TiO2, zircon concentrate with ~63–64% ZrO2, kyanite–sillimanite concentrate with ~62.28% Al2O3 and staurolite concentrate with ~50.9% Al2O3; deposit mined by open-cast methods by Vilnohirskyi Mining and Metallurgical Plant (UMCC) and associated MBPs, with drying plant and concentrator using crushing, gravity, electric and magnetic separation; main commercial products are rutile, ilmenite, zircon, staurolite and sillimanite; hydrogeology dominated by a Miocene aquifer complex in Sarmatian and Poltava sands, representing the main quarry flooding risk; geological structure classified as complex (Group 2); residual reserves of zircon–rutile–ilmenite sands approved as C2 (class code 332) with confidential tonnages and classified under UNFC as non-commercial at early technological study stage; approved associated mineral reserves (C2): disthene + sillimanite 1,407.8 kt and staurolite 567.9 kt; deposit is strategically important and currently developed, forming the main source of zirconium and titanium raw materials in Ukraine, with economic value derived from long-term large-scale placer mining and multi-product concentrate recovery rather than single-metal extraction.</t>
  </si>
  <si>
    <t>Geological Evidence: 1
Justification: Malyshevske is a long established coastal marine placer with a well understood sedimentary architecture, heavy mineral assemblage and depositional model. The geometry of the placer bodies, stratigraphic position, mineral zoning and hydrogeological conditions are extensively documented through decades of mining, drilling and operational data, leaving little geological uncertainty.
Data Quality: 1
Justification: The deposit benefits from exceptionally strong data coverage due to continuous exploitation since the 1960s. Quantitative information is available on mineral grades, heavy mineral distributions, beneficiation performance, concentrate specifications, hydrogeology and mining methods, supported by state licences and technical documentation. Although some reserve figures are confidential, the overall data quality is high and operationally validated.
Classification Alignment: 1
Justification: Malyshevske is consistently classified in the Ukrainian State Inventory and strategic mineral assessments as a Ti–Zr placer deposit with associated industrial minerals. Its treatment as a multi product placer operation, rather than a single commodity deposit, is uniform across official classifications, licensing documents and investment analyses.</t>
  </si>
  <si>
    <t>Vovchanske</t>
  </si>
  <si>
    <t xml:space="preserve"> 48°11'26.63"N</t>
  </si>
  <si>
    <t xml:space="preserve"> 36°23'5.93"E</t>
  </si>
  <si>
    <r>
      <t xml:space="preserve">Ganzha, O. A. (2024). </t>
    </r>
    <r>
      <rPr>
        <i/>
        <sz val="12"/>
        <color theme="1"/>
        <rFont val="Aptos Narrow"/>
        <family val="2"/>
        <scheme val="minor"/>
      </rPr>
      <t>Mineralogy of the Vovchansk zircon–rutile–ilmenite deposit (Ukrainian Shield).</t>
    </r>
    <r>
      <rPr>
        <sz val="12"/>
        <color theme="1"/>
        <rFont val="Aptos Narrow"/>
        <family val="2"/>
        <scheme val="minor"/>
      </rPr>
      <t xml:space="preserve"> Mineralogical Journal, 46(3), 29–41. 
"Mykhailov, V. A., Malyuk, B., Kovalenko, N., Bertrand, G., de Oliveira, D., Wittenberg, A., Wellmer, F.-W., Horwath, Z., Hollis, J., Wall, P., &amp; Quijano Gaudes, L. (2023). Strategic minerals of Ukraine and their investment attractiveness.
</t>
    </r>
  </si>
  <si>
    <t>Vovchanske Ti–Zr deposit is a complex coastal–marine placer located in Dnipropetrovsk oblast, hosted in fine-grained, well-sorted quartz sands of Middle Sarmatian age and partly in sands of the Poltavska Series; the placer consists of three subparallel ore bodies (Northern, Central, Southern) extending 15–20 km in length, 50–1050 m in width and 3–7 m in thickness, overlain by 0.9–33.5 m of sediments; ore sands are quartz-dominated, clay-free, with heavy minerals including ilmenite (80–100 kg/m³), rutile and leucoxene (25–31 kg/m³), zircon (7–9 kg/m³), and accessory disthene, sillimanite, staurolite and tourmaline; the Northern placer body is the richest in zircon, where zircon comprises 20–50% and locally up to 70–90% of the heavy mineral fraction; heavy mineral assemblage is dominated by ilmenite with subordinate rutile–leucoxene and zircon, suitable for standard gravity, magnetic and electrostatic beneficiation; deposit represents a detrital placer derived from weathering of crystalline rocks of the Ukrainian Shield; reserves are concentrated mainly in the Northern deposit, with industrial development carried out by open-pit methods; Vovchanske is one of the actively developed Ti–Zr placer deposits of Ukraine and forms part of the country’s strategic titanium and zirconium raw-material base.</t>
  </si>
  <si>
    <t>Geological Evidence: 1
Justification: Vovchanske is a well constrained coastal marine placer with clearly defined geometry, sedimentological context and heavy mineral assemblages. The depositional model, provenance from Ukrainian Shield crystalline rocks and internal zoning of ore bodies are well established through drilling, mineralogical studies and active mining experience.
Data Quality: 1
Justification: The deposit is supported by high quality geological and mineralogical data, including recent peer reviewed mineralogical work and detailed descriptions of ore body dimensions, grades and beneficiation behaviour. Ongoing industrial development further validates the reliability of grade and process data, even if some reserve figures remain non public.
Classification Alignment: 1
Justification: Vovchanske is consistently classified across national inventories and strategic mineral assessments as a zircon–rutile–ilmenite placer deposit. Its role as a multi product Ti–Zr operation within Ukraine’s strategic raw material base is uniformly recognised, with no ambiguity in deposit type or economic classification.</t>
  </si>
  <si>
    <t>Mostove</t>
  </si>
  <si>
    <t>Coastal–marine placer</t>
  </si>
  <si>
    <t xml:space="preserve"> 48°40'20.31"N</t>
  </si>
  <si>
    <t xml:space="preserve"> 31°19'12.19"E</t>
  </si>
  <si>
    <t>"Mykhailov, V. A., Malyuk, B., Kovalenko, N., Bertrand, G., de Oliveira, D., Wittenberg, A., Wellmer, F.-W., Horwath, Z., Hollis, J., Wall, P., &amp; Quijano Gaudes, L. (2023). Strategic minerals of Ukraine and their investment attractiveness."Mykhailov, V. A., Malyuk, B., Kovalenko, N., Bertrand, G., de Oliveira, D., Wittenberg, A., Wellmer, F.-W., Horwath, Z., Hollis, J., Wall, P., &amp; Quijano Gaudes, L. (2023). Strategic minerals of Ukraine and their investment attractiveness.
Taurus Infinity LLC. (n.d.). Investment reliability. Retrieved December 12, 2025, from https://taurusinfinity.com/investment-reliability/</t>
  </si>
  <si>
    <t>Mostove tantalum–niobium deposit; location: central Ukrainian Shield, Kirovohrad oblast, within Zvenyhorod–Hannivka fault zone on eastern flank of Korsun–Novomyrhorod pluton; deposit type: rare-metal Ta–Nb ore bodies hosted by metasomatically altered aplite–pegmatite granites and metasomatites (biotite and cordierite–sillimanite–biotite gneisses and crystalline schists of Ingul–Inhulets series); structure: 3 ore zones, 5 steeply dipping ore bodies traced in 9 sections, modeled in 3D (17 drillholes); approved reserves/resources (Ta2O5+Nb2O5) in ore zone 3: class 222 C2 = 350.8 kt ore at 0.01030% Ta2O5 and 0.00659% Nb2O5 (36.1 t Ta2O5, 24.4 t Nb2O5); class 333 P1 = 4,384.3 kt at 0.02153% Ta2O5 and 0.01101% Nb2O5 (755.1 t Ta2O5, 386.1 t Nb2O5); combined C2+P1 (222+333) = 4,735.1 kt at 0.0208% Ta2O5 and 0.01076% Nb2O5 (796.1 t Ta2O5, 413.0 t Nb2O5); additional P2 resources in zone 3 (class 334) = 1,556.5 kt at 0.02061% Ta2O5 (200.9 t Ta2O5, 104.2 t Nb2O5); total C2+P1+P2 = 6,291.6 kt ore containing 997.0 t Ta2O5 and 517.2 t Nb2O5 (rounded values in text 992.1 t Ta2O5, 514.7 t Nb2O5); planned underground mining method with backfill, ore output 70 kt/y, mine life 7 years; CAPEX 5.89 M$, ore processed to Ta–Nb concentrate valued at 89.43 $/t, project net cash flow 3.61 M$, profitability index 1.07, payback 5 years; environmental impact assessment and public hearings completed, 15-year special permit for tantalum ore extraction in ore zone 3 obtained; additional P2-category potential from two extra mineralization zones plus nearby Vys’ and Kopanky occurrences increases conceptual resource base to 2,694.5 t Ta2O5 and 2,683.78 t Nb2O5.</t>
  </si>
  <si>
    <t>Geological Evidence: 1
Justification: The Mostove deposit is supported by clear structural, lithological and genetic evidence for Ta–Nb mineralisation hosted in metasomatically altered granites and gneisses. Ore zones are well defined through drilling, section modelling and 3D interpretation, with a coherent tectonic setting in the Zvenyhorod–Hannivka fault zone. The geological model is internally consistent and supported by detailed exploration results.
Data Quality: 1
Justification: Data quality is high, with quantified grades, tonnages and resource classes (C2, P1, P2), documented drill coverage, economic parameters and a completed environmental impact assessment. The existence of a granted special permit, mine design parameters and a preliminary economic model further strengthen confidence in the dataset, despite the project not yet being in production.
Classification Alignment: 1
Justification: Mostove is consistently classified as a hard-rock rare-metal Ta–Nb deposit rather than a true coastal–marine placer, and its classification as a metasomatic granite-hosted system is aligned across strategic mineral inventories, investment documents and technical descriptions. There is no ambiguity in deposit type or commodity focus.</t>
  </si>
  <si>
    <t>Niobium</t>
  </si>
  <si>
    <t>Geological Evidence: 1
Justification: The Mazurivske deposit is underpinned by a robust and internally consistent geological model for Nb mineralisation hosted in nepheline syenites, mariupolites, albitites and metasomatites of the Azov megablock. Primary and weathered ores are well characterised mineralogically, with pyrochlore identified as the main Nb carrier and clear links to alkaline magmatism and metasomatic processes. The presence of technogenic tailings further confirms historical extraction and metallogenic continuity.
Data Quality: 1
Justification: Data quality is high, with quantified C₁ and C₂ reserves, detailed chemical grades (Nb₂O₅, Ta₂O₅, ZrO₂, REE), beneficiation test results, techno-economic evaluations and documented performance indicators for both hard-rock ores and tailings. Multiple independent sources, including state balance data and recent mineralogical studies, provide a strong and coherent dataset despite the lack of current production.
Classification Alignment: 1
Justification: Mazurivske is consistently classified across inventories and technical literature as a hard-rock rare-metal deposit related to alkaline syenites and metasomatites, with niobium as a principal commodity recovered in a polymetallic context. There is no ambiguity in deposit type or genetic interpretation, and its role within Ukraine’s integrated Ta–Nb value chain is clearly and consistently defined.</t>
  </si>
  <si>
    <t>Geological Evidence: 1
Justification: Novopoltavske is supported by a very strong and well-established geological model for a Paleoproterozoic carbonatite–phoscorite rare-metal system. The geometry of ore bodies, structural control by the Orikhovo–Pavlograd fault zone, clear mineral associations, and well-defined supergene enrichment zones provide robust evidence for primary and secondary Nb–REE–apatite mineralisation. The deposit fits cleanly within global carbonatite metallogenic models, with internally consistent mineralogy, geochemistry and age constraints.
Data Quality: 1
Justification: Data quality is high and unusually comprehensive for a non-operating deposit. State Balance figures (B, C1, C2 and off-balance), quantified grades for Nb₂O₅, Ta₂O₅, REE, apatite, Sr and F, beneficiation test results, hydrogeological assessments, mine design parameters and economic evaluations are all available from authoritative sources. Although Ta–Nb reserves are partly limited in official reporting, Nb grades, recoveries and concentrate specifications are sufficiently well constrained for technical and economic assessment.
Classification Alignment: 1
Justification: Novopoltavske is consistently classified across Ukrainian state inventories and peer-reviewed literature as a hard-rock carbonatite rare-metal–apatite deposit with Nb as a major accompanying commodity. There is no ambiguity regarding deposit type, genetic interpretation or commodity association. Its role as a complex, multi-commodity carbonatite system rather than a stand-alone Nb deposit is clearly and consistently defined.</t>
  </si>
  <si>
    <t>Geological Evidence: 1
Justification: Malyshevske is a textbook example of a large coastal–marine heavy-mineral placer derived from prolonged weathering of the Ukrainian Shield and subsequent sedimentary reworking. The geometry, stratigraphic position, mineral assemblage and provenance are very well constrained and internally consistent with global Ti–Zr placer models. Decades of mining confirm the robustness of the geological interpretation, with clear continuity of ore bodies and predictable heavy-mineral distributions.
Data Quality: 1
Justification: Data quality is exceptionally high due to long-term industrial exploitation since 1961. Detailed information exists on placer geometry, heavy-mineral grades, mineral chemistry, beneficiation performance, concentrate specifications, hydrogeology and mining methods. State licence documentation, historical production records and recent technical descriptions provide a dense and reliable dataset suitable for both geological and economic assessment.
Classification Alignment: 1
Justification: Malyshevske is consistently and unambiguously classified as a zircon–rutile–ilmenite coastal–marine placer across Ukrainian state inventories, academic literature and industrial documentation. There is no ambiguity regarding deposit type, genesis or commodity association. Its role as a strategic, multi-product Ti–Zr placer rather than a single-commodity deposit is clearly defined and universally accepted.</t>
  </si>
  <si>
    <t>Geological Evidence: 1
Justification: The entry describes a clearly defined coastal–marine heavy-mineral placer with mapped geometry, multiple ore bodies, documented thickness and continuity, a well constrained sedimentary host, and a mineral assemblage consistent with Ti–Zr placers. The deposit is described as actively developed by open-pit methods, which confirms demonstrable mineralisation rather than speculative occurrence.
Data Quality: 1
Justification: Quantitative grades are reported numerically in kg/m³ for ilmenite, rutile–leucoxene and zircon, with ranges and internal variability described. Dimensions of the placer bodies are given, and mineralogical studies are cited from peer reviewed literature. These data are directly translatable into a CRIRSCO style framework even if full tonnage figures are not stated.
Classification Alignment: 0
Justification: No GKZ reserve categories, UNFC classes, or state approved reserve statements are explicitly reported in the provided description. The term “reserves” is used descriptively but without formal classification anchors or codes, and no licence or reserve approval documentation is cited. Under the discipline rule, this must be scored No.</t>
  </si>
  <si>
    <t>Geological Evidence: 1
Justification: The entry describes a clearly delineated hard-rock Ta–Nb deposit with mapped ore zones, multiple steeply dipping ore bodies, drillhole intersections, 3D modelling, and defined host lithologies. This constitutes demonstrable mineralisation supported by direct geological evidence rather than inference.
Data Quality: 1
Justification: Numerical tonnage and grade data are explicitly reported for Ta2O5 and Nb2O5 across multiple GKZ-style classes (C2, P1, P2), with units, averages, and contained metal figures provided. These data are directly translatable into a CRIRSCO style reporting framework, regardless of economic assumptions.
Classification Alignment: 1
Justification: Formal Soviet-style reserve and resource categories are explicitly stated, including C2 (222), P1 (333), and P2 (334), with approved reserves and permitting referenced. These categories provide a clear classification anchor that can be crosswalked to CRIRSCO/PERC resource classes.
Total Score: 3</t>
  </si>
  <si>
    <t>Hafnium</t>
  </si>
  <si>
    <t>Ukraine’s hafnium industry is a by product value chain tied to the country’s zircon concentrate processing infrastructure, not a standalone hafnium sector: industrial hafnium accumulations are linked to complex zirconium deposits and to alkaline and metasomatic source provinces (Azovskiy and Korostenskiy plutons), but the State Inventory of Mineral Resources records hafnium ores only in two placer deposits, Malyshevske and Vovchanske, with a combined 13.8 kt HfO₂; reported output is 267 t HfO₂ in 2020 (Mineral Resources of Ukraine 2021), and the document states hafnium is extracted from concentrates of the Malyshevske deposit produced by United Mining and Chemical Company (UMCC) and Motronivskiy MBP, meaning the operational infrastructure is the existing zircon heavy mineral concentrate stream and its downstream refining steps rather than a dedicated mine or plant; economically, hafnium supply is therefore constrained and enabled by zircon production volumes and concentrate handling capacity at these industrial operators, and geopolitically the metal is strategically sensitive because cited end uses include nuclear reactor control rods, aerospace and high temperature alloys, radio engineering and electronics, so continuity of concentrate production, processing access and export or offtake channels for concentrates and refined products are the key non geological determinants of Ukraine’s hafnium availability.</t>
  </si>
  <si>
    <t>Malyshevske (Samotkanske) Ti–Zr coastal-marine placer deposit in Dnipropetrovsk oblast is one of two Ukrainian deposits officially recorded in the State Inventory of Mineral Resources (SIMR) as hosting industrial hafnium; hafnium occurs as an isomorphic component in zircon concentrates derived from heavy-mineral sands mined since 1961 by open-cast methods; national SIMR records combined hafnium oxide (HfO₂) resources of 13.8 kt for Malyshevske and Vovchanske placers, with Malyshevske being the confirmed source of industrial extraction; hafnium is recovered as a by-product during zircon concentrate processing at United Mining and Chemical Company (UMCC) and Motronivskiy MBP; reported national hafnium oxide production reached 267 t HfO₂ in 2020, explicitly linked to Malyshevske concentrate processing; no standalone hafnium mining exists, economic viability is entirely dependent on large-scale zircon–rutile–ilmenite production, established beneficiation infrastructure, and downstream separation of Hf from Zr during concentrate refining; Malyshevske therefore represents Ukraine’s primary economically realised hafnium supply source, with production economics subordinated to zirconium and titanium markets rather than hafnium price signals.</t>
  </si>
  <si>
    <t>Geological Evidence: 1
Justification: Hafnium occurrence is demonstrable because it is an isomorphic component of zircon within a well documented, long mined heavy mineral placer. The presence of zircon bearing hafnium is confirmed by decades of production and processing at Malyshevske, so this is not speculative.
Data Quality: 1
Justification: Quantitative figures are reported at the national and deposit level, including combined HfO₂ resources (13.8 kt for Malyshevske and Vovchanske) and annual production figures (267 t HfO₂ in 2020). Although hafnium is not reported as a standalone ore grade in situ, the data are numerically stated, sourced, and translatable within a CRIRSCO style framework for by product reporting.
Classification Alignment: 1
Justification: Hafnium is explicitly recorded in the State Inventory of Mineral Resources as an industrial component associated with Malyshevske and Vovchanske placers. This constitutes a formal state classification anchor, even though hafnium is treated as a by product rather than a primary commodity.
Total Score: 3</t>
  </si>
  <si>
    <t>Vovchanske Ti–Zr coastal-marine placer deposit in Dnipropetrovsk oblast is officially recorded in the State Inventory of Mineral Resources (SIMR) as hosting hafnium associated with zircon concentrates in heavy-mineral sands; Vovchanske contributes to the combined national hafnium oxide resource estimate of 13.8 kt HfO₂ together with Malyshevske, but the provided literature does not disaggregate hafnium resources, grades, recoveries, or production volumes by deposit; hafnium occurs as an accessory isomorphic element within zircon grains derived from detrital Ukrainian Shield source rocks; while Vovchanske is an active Ti–Zr placer operation and part of Ukraine’s strategic zirconium raw-material base, the cited data do not confirm direct hafnium extraction from Vovchanske concentrates, nor dedicated hafnium processing infrastructure on site; economic relevance of hafnium at Vovchanske is therefore classified as potential and contingent, dependent on zircon concentrate upgrading and downstream processing rather than primary hafnium-focused development.</t>
  </si>
  <si>
    <t>Geological Evidence: 1
Justification: Hafnium presence is demonstrable as an isomorphic component within zircon grains hosted by a well defined and actively mined Ti–Zr coastal marine placer. The geological setting and mineral host are clearly established, so this is not speculative.
Data Quality: 0
Justification: Hafnium quantities are only reported at an aggregated national level together with Malyshevske, without deposit specific grades, tonnages, recoveries, or production figures for Vovchanske. The absence of disaggregated, traceable numerical data at the deposit level means the data cannot be translated into a CRIRSCO style framework for this occurrence.
Classification Alignment: 0
Justification: Although hafnium is mentioned in the State Inventory of Mineral Resources as associated with Vovchanske, no deposit level reserve or resource category for hafnium is explicitly stated, and no GKZ or UNFC class is reported for hafnium at this site. Under the conservative rule, this lacks a formal classification anchor.</t>
  </si>
  <si>
    <t>Alkaline syenite</t>
  </si>
  <si>
    <t>Yastrubetske is a rare-metal occurrence/deposit within the north-western Ukrainian Shield, associated with alkaline granites, syenites and potassium metasomatites of the Perzhanska ore field; mineralization is complex Zr–REE–Hf–Y with accessory Ta–Nb; hafnium occurs mainly as an isomorphic component in zircon and related Zr minerals; published mineral chemistry shows elevated Hf contents (≈0.8% Hf in zircon), high REE oxides (up to ~4.4%), and significant Y–HREE enrichment; economic significance is exploratory to sub-economic, cited mainly as a mineralogical and geochemical reference point rather than an operating deposit; no recorded mining or processing infrastructure.</t>
  </si>
  <si>
    <t>Geological Evidence: 1
Justification: The occurrence has documented rare metal mineralisation associated with alkaline syenites and metasomatites, supported by published mineralogical and geochemical studies. Hafnium presence is demonstrated through measured Hf contents in zircon and related Zr minerals, so mineralisation is real rather than speculative.
Data Quality: 0
Justification: Although mineral chemistry values are reported, no tonnage, grade at deposit scale, or resource figures are provided for hafnium or associated commodities. The data remain descriptive and mineralogical and cannot be translated into a CRIRSCO style tonnage grade framework.
Classification Alignment: 0
Justification: The site is described as an occurrence within an ore field, with no GKZ, UNFC, or state approved reserve or resource category reported. There is no formal classification anchor applicable to this site.</t>
  </si>
  <si>
    <t>Azovskiy pluton</t>
  </si>
  <si>
    <t>Magmatic–metasomatic rare-metal mineralization</t>
  </si>
  <si>
    <t xml:space="preserve"> 47°18'13.61"N</t>
  </si>
  <si>
    <t xml:space="preserve"> 37°22'22.03"E</t>
  </si>
  <si>
    <r>
      <t xml:space="preserve">Mitrokhin, O. V. (2007). Alkaline and subalkaline magmatism of the Azovian megablock of the Ukrainian Shield and its ore potential. </t>
    </r>
    <r>
      <rPr>
        <i/>
        <sz val="12"/>
        <color theme="1"/>
        <rFont val="Aptos Narrow"/>
        <family val="2"/>
        <scheme val="minor"/>
      </rPr>
      <t>Geological Journal</t>
    </r>
    <r>
      <rPr>
        <sz val="12"/>
        <color theme="1"/>
        <rFont val="Aptos Narrow"/>
        <family val="2"/>
        <scheme val="minor"/>
      </rPr>
      <t>, 4, 37–52.
Mykhailov, V. A., Malyuk, B., Kovalenko, N., Bertrand, G., de Oliveira, D., Wittenberg, A., Wellmer, F.-W., Horwath, Z., Hollis, J., Wall, P., &amp; Quijano Gaudes, L. (2023). Strategic minerals of Ukraine and their investment attractiveness.
State Service of Geology and Mineral Resources of Ukraine. (2021, January). Malyshevske NW2 licence [PDF]. https://www.geo.gov.ua/wp-content/uploads/2021/01/MALYSHEVSKE_NW2_license.pdf</t>
    </r>
  </si>
  <si>
    <t>Azovskiy pluton is a Paleoproterozoic alkaline to subalkaline intrusive complex located in southeastern Ukraine within the Azovian megablock of the Ukrainian Shield, mainly in Zaporizhzhia Oblast with extensions into Donetsk Oblast, north of the Sea of Azov near Mariupol and Nikolskе. It comprises alkaline syenites, quartz syenites, nepheline bearing syenites, taxite differentiated layered syenites and metasomatites, locally associated with carbonatites of the Chernigivskiy Complex. The pluton hosts zirconium, rare earth and rare metal mineralization including Zr, Hf, Nb, Ta and REE, typically concentrated in zircon, baddeleyite, pyrochlore, columbite and REE minerals within differentiated syenite horizons and metasomatic zones. Hafnium occurs mainly as an isomorphic component in zircon and baddeleyite. Mineralization is structurally controlled by faults and ring structures and occurs as layered horizons, lenses and metasomatic zones. The pluton is considered a metallogenic source area for downstream placer deposits such as Malyshevske and Vovchanske. No primary hard rock hafnium mining is active, but the pluton is classified as a strategic metallogenic province with exploration potential for Zr Hf REE Nb Ta. Age approximately 2.1 to 1.9 Ga.</t>
  </si>
  <si>
    <t>Geological Evidence: 1
Justification: The Azovskiy pluton hosts documented magmatic–metasomatic rare metal mineralisation with identified Zr, Hf, Nb, Ta and REE bearing minerals, supported by detailed geological, petrological and mineralogical studies. Hafnium occurrence as an isomorphic component in zircon and baddeleyite is demonstrated, so mineralisation is real and not speculative.
Data Quality: 0
Justification: No tonnage, grade at deposit or zone scale, or quantitative resource figures are reported for hafnium or associated metals. Information remains descriptive and genetic, focused on metallogeny rather than quantifiable resources, and cannot be translated into a CRIRSCO style framework.
Classification Alignment: 0
Justification: The Azovskiy pluton is described as a metallogenic province and source area, not as a deposit with defined reserves or resources. No GKZ, UNFC, or state approved classification is cited for hafnium or other commodities at this site.1</t>
  </si>
  <si>
    <t>Korostenskiy pluton</t>
  </si>
  <si>
    <t>Anorthosite–rapakivi granite intrusive complex</t>
  </si>
  <si>
    <t xml:space="preserve"> 50°54'3.99"N</t>
  </si>
  <si>
    <t xml:space="preserve"> 28°41'55.71"E</t>
  </si>
  <si>
    <t>Korostenskiy pluton is a large Paleoproterozoic anorthosite rapakivi granite plutonic complex located in northwestern Ukraine within the Volyn Polissya part of the Ukrainian Shield, mainly in Zhytomyr Oblast around Korosten, Malyn and Ovruch, with minor extensions into Kyiv Oblast. The complex consists of rapakivi granites, anorthosites, gabbro anorthosites, syenites and widespread alkaline and potassium metasomatites. It is a major source of zirconium bearing minerals and hosts disseminated Zr Hf mineralization primarily in zircon, with hafnium present as a trace to minor component typically around 0.5 to 1.0 percent Hf in zircon concentrates. Rare earth enrichment occurs locally in metasomatic zones and accessory minerals such as monazite and xenotime. Hafnium is not mined from primary ores but is recovered indirectly from zircon concentrates derived from erosion of the pluton and accumulated in placers, especially Malyshevske and Vovchanske. The pluton is a key upstream source for Ukraine’s zirconium and hafnium supply chain and is classified as a strategic metallogenic structure with long term resource significance. Age approximately 1.8 to 1.75 Ga.</t>
  </si>
  <si>
    <t>Geological Evidence: 1
Justification: The Korostenskiy pluton hosts documented Zr–Hf bearing mineralisation, with hafnium occurring as a trace to minor isomorphic component in zircon. Its role as a proven metallogenic source for downstream placer deposits is well established in geological and mineralogical literature, confirming real mineralisation rather than speculation.
Data Quality: 0
Justification: No tonnage, resource estimates, or deposit scale grade figures are reported for hafnium or zircon within the pluton itself. Reported Hf contents are limited to indicative mineral chemistry values in zircon and cannot be translated into a CRIRSCO style tonnage grade framework.
Classification Alignment: 0
Justification: The site is described as a metallogenic intrusive complex and source area, not as a deposit with defined GKZ, UNFC, or state approved reserve or resource categories. There is no formal classification anchor applicable to this occurrence.</t>
  </si>
  <si>
    <t>Bismuth</t>
  </si>
  <si>
    <t>Michurinske</t>
  </si>
  <si>
    <t>brannerite and oxidized uraninite</t>
  </si>
  <si>
    <t xml:space="preserve"> 48°27'17.75"N</t>
  </si>
  <si>
    <t xml:space="preserve"> 32°19'0.65"E</t>
  </si>
  <si>
    <t>Cuney, M., Emetz, A., Mercadier, J., Mykhailov, V., Shunko, V., &amp; Yuslenko, A. (2012). Uranium deposits associated with Na-metasomatism from central Ukraine: A review of some of the major deposits and genetic constraints. Ore Geology Reviews, 44, 82–106. https://doi.org/10.1016/j.oregeorev.2011.09.006
Mykhailov, V. A., Malyuk, B., Kovalenko, N., Bertrand, G., de Oliveira, D., Wittenberg, A., Wellmer, F.-W., Horwath, Z., Hollis, J., Wall, P., &amp; Quijano Gaudes, L. (2023). Strategic minerals of Ukraine and their investment attractiveness.
State Service of Geology and Mineral Resources of Ukraine. (2021, January). Malyshevske NW2 licence [PDF]. https://www.geo.gov.ua/wp-content/uploads/2021/01/MALYSHEVSKE_NW2_license.pdf
Dudar, T., Lysychenko, G., &amp; Buhera, M. (2018). Uranium resources of Ukraine: Geology, mineralogy, and some mining aspects. Kyiv, Ukraine.
Mitrokhin, A. V., Bohdanova, S. V., &amp; Shumlyanskyy, L. V. (2008). Polybaric crystallization of anorthosites of the Korosten pluton (Ukrainian Shield). Mineralogical Journal (Ukraine), 30(2), 36–56.
Shatalov, M. M. (2015). Uranium of the subsoil of Ukraine: Geochemistry of uranium and the history of formation of the mineral resource base. Visnyk of the National Academy of Sciences of Ukraine, 2015(10), 50–63. https://doi.org/10.15407/visn2015.10.050</t>
  </si>
  <si>
    <t>Ukraine does not currently have an integrated or operating bismuth value chain. Bismuth is not mined as a primary commodity in Ukraine and there are no defined bismuth reserves or dedicated projects; the only documented high grade occurrence is a localised Bi–U vein system (0.8–1.3% Bi) at the Obginniy occurrence within the Michurinske uranium deposit, which is occurrence scale and not economically delineated. In line with global practice, any realistic Ukrainian bismuth supply would have to come as a by product of processing lead, zinc, tungsten, or possibly uranium bearing ores, but Ukraine currently lacks functioning non ferrous smelting and refining circuits capable of recovering bismuth. Midstream capacity is the main bottleneck: metallurgical infrastructure has been degraded by decades of underinvestment and further constrained by war related damage, power instability, and disrupted logistics. Downstream demand inside Ukraine is limited and indirect, mainly through metallurgy, chemicals, and potential defence or substitution uses, with no dedicated bismuth industry. Logistically, exports would rely primarily on rail corridors to EU ports rather than domestic maritime routes, increasing costs and reducing competitiveness. Geopolitically, interest in bismuth is rising because global supply is highly concentrated in China, and Ukraine’s strategic minerals agenda, aligned with EU and U.S. initiatives, could in theory reframe bismuth as a future by product opportunity, but only if broader mining projects proceed and new processing infrastructure is rebuilt or externally integrated. In practical terms, Ukraine’s bismuth position today is geological potential plus policy relevance, not an operational value chain.</t>
  </si>
  <si>
    <t>At the Michurinske uranium deposit in the Kirovohrad uranium district of the Ukrainian Shield, bismuth is documented exclusively at the Obginniy occurrence as a distinct bismuth–uranium vein-type mineralisation hosted in strongly fractured and brecciated sodium metasomatites (albitites) developed along fault-controlled zones branching from the Main Eastern Fault; reported grades reach 0.8 to 1.3 wt.% Bi, with uranium up to 15.5 wt.% and lead up to 2 wt.%, making this the only confirmed high-grade bismuth occurrence within Ukrainian uranium deposits; the mineralisation is spatially limited, vein-bound, and genetically separate from the main Michurinske uranium ores, which are dominated by uraninite, coffinite, brannerite and uranium silicates and do not show systematic bismuth enrichment; no bismuth resources, reserves, tonnages, metallurgical recovery studies, or by-product classifications are reported for Michurinske, and bismuth is not included in deposit passports or economic evaluations, indicating geological significance at occurrence scale only and no demonstrated economic exploitability at deposit scale.</t>
  </si>
  <si>
    <t>Geological Evidence: 1
Justification: Bismuth mineralisation is demonstrable at the Obginniy occurrence within the Michurinske uranium deposit, with reported high Bi grades in a distinct Bi–U vein system hosted by Na-metasomatites. This confirms real mineralisation rather than speculative presence, albeit at very limited spatial scale.
Data Quality: 0
Justification: Although local Bi grades are reported, no tonnage, resource estimates, recoveries, or deposit scale quantitative data exist for bismuth. The information remains occurrence level and cannot be translated into a CRIRSCO style tonnage grade framework.
Classification Alignment: 0
Justification: No GKZ, UNFC, or state approved reserve or resource category exists for bismuth at Michurinske. Bismuth is not included in deposit passports or economic classifications and is explicitly treated as an occurrence only.</t>
  </si>
  <si>
    <t>Titanium metal</t>
  </si>
  <si>
    <t>Malyshevske (Samotkanske)</t>
  </si>
  <si>
    <t>Ukraine’s titanium “post mining” story is mostly about moving from mined heavy minerals (ilmenite, rutile, leucoxene plus zircon by product) into consistent concentrates, then deciding whether to stop there (export feedstock) or go downstream (TiO₂ pigment, titanium metal). Processing: most Ukrainian titanium is upgraded by standard mineral sands flowsheets (wet mining or dry excavation, slurry transport, gravity spirals, magnetic separation, electrostatic separation) to ilmenite and rutile concentrates plus zircon and other by products; the big operating base has historically been the state owned UMCC chain with the Vilnohirsk and Irshansk plants (beneficiation and concentrate output), alongside private operators such as Velta (ilmenite concentrates). Infrastructure and logistics: concentrate production needs stable power, water, tailings management, dewatering and pumping capacity, and reliable rail corridors to EU borders because Black Sea routes have been periodically constrained by war risk; sites also need spare parts and reagents that are import exposed, so operating continuity can hinge on insurance, financing, and border throughput rather than just geology. Economics: Ukraine’s advantage is scale and multi product recovery (ilmenite or rutile plus zircon and industrial minerals), but margins are sensitive to energy prices, beneficiation yields, product specs (especially impurity control for pigment or chloride route feed), and the discount applied to feedstock that is not converted domestically into higher value products; this is why many projects emphasise concentrate capacity first, with “deep processing” framed as a second step once capital and market access are secure. Downstream constraints: TiO₂ pigment and titanium metal require much higher capex, tighter environmental permitting, stable sulphuric or chloride chemistry supply chains, and bankable offtake; Ukraine has had downstream assets, but war, ownership disputes, and plant level economics have repeatedly been binding constraints, so “mine to pigment/metal” remains more a strategic ambition than an assured near term pathway for most operators. Geopolitics: titanium is strategically important for aerospace and defence supply chains, and the EU’s Critical Raw Materials Act explicitly lists metallic titanium as a strategic raw material, which strengthens the policy case for EU aligned Ukrainian supply and for investment that reduces processing risk and improves traceability. A key recent shift is governance and investment signalling: Ukraine privatised UMCC to NEQSOL in 2024 (payment completed and proceeds transferred to the state budget), which may improve access to capital and management capacity and could, if executed, support a move from feedstock sales toward higher value products, though this still depends on wartime risk, financing costs, and permitting.</t>
  </si>
  <si>
    <t>Malyshevske (Samotkanske) is a residual coastal–marine titanium–zirconium placer deposit located in the Samotkan River basin (right tributary of the Dnipro) within Dnipropetrovsk Oblast and partly Kirovohrad Oblast, on the central Ukrainian Shield. The deposit is hosted mainly in fine-grained quartz sands of the Poltava Series and locally in Middle Miocene (Sarmatian) sediments, developed in the northern depression of the shield. It is the largest developed Ti–Zr placer deposit in Ukraine, discovered in 1954 and mined continuously since 1961. The main placer body is approximately 19 km long, 2.5 km wide, and up to ~35 m thick, comprising several mineralised lenses. The north-western prospective (residual) zone covers 3,309.8 ha and is subdivided into three licence blocks (Block 1: 1,408.4 ha; Block 2: 800.2 ha; Block 3: 1,101.2 ha), with 20-year exploration and production licences.
Ore sands form an industrial horizon of grey to yellow-grey, well-sorted, fine-grained quartz sands, with three mineralised horizons within the Poltava Series; quartz grains are dominated by the −0.28 to +0.1 mm fraction (89.84%). Heavy minerals include ilmenite, rutile, leucoxene, zircon, kyanite (disthene), sillimanite, staurolite, tourmaline, spinel, chromite, and monazite. Average heavy-mineral contents are approximately ilmenite ~77 kg/m³, rutile ~24 kg/m³, and zircon ~8–9 kg/m³, with local variability. Ilmenite is the principal titanium mineral and is commonly strongly altered to leucoxene; average TiO₂ contents are 62.23% in ilmenite, 83.26% in leucoxene, and 90–98% in rutile, while zircon contains 63.1–63.9% ZrO₂. Technological tests, including those from the Motronivsko-Annivska sector, produced marketable concentrates of ilmenite (62.23% TiO₂), rutile (94.05% TiO₂), zircon (64.57% ZrO₂), kyanite–sillimanite (62.28% Al₂O₃), and staurolite (50.9% Al₂O₃).
Mining is by open-cast methods, operated by the Vilnohirskyi Mining and Metallurgical Plant (UMCC) and associated beneficiation plants, using crushing, gravity, electric, and magnetic separation. Main commercial products are rutile, ilmenite, zircon, staurolite, and sillimanite, with economic value derived from large-scale, long-life, multi-product recovery rather than single-metal extraction. Hydrogeological conditions are controlled by a Miocene aquifer hosted in Sarmatian and Poltava sands, representing the principal pit dewatering challenge. Geological complexity is classified as Group 2.
Residual reserves in the north-western area are classified as C2 (UNFC code 332) and were approved by the State Commission of Ukraine on 20.12.2019 (No. 5000-DSK); these reserves are classified as non-commercial under UNFC-2009 due to early-stage technological data and insufficient economic justification. Approved associated C2 reserves include 1,407.8 kt of kyanite + sillimanite and 567.9 kt of staurolite, while Ti–Zr tonnages remain confidential. Exploration was conducted in 1955–1958, with initial reserve approval in 1959 (protocol No. 2553). Malyshevske is strategically important and remains the core source of titanium and zirconium raw materials in Ukraine (Mykhailov et al., 2023; State Service of Geology and Mineral Resources of Ukraine, 2021).</t>
  </si>
  <si>
    <t>Geological Evidence: 1
Justification: Titanium mineralisation is unequivocally demonstrated at Malyshevske through extensive, long term mining of ilmenite, rutile and leucoxene within a well defined coastal marine placer. Geometry, continuity, mineral assemblage and production history confirm real titanium bearing mineralisation rather than inference.
Data Quality: 1
Justification: Quantitative data are reported for heavy mineral grades (kg/m³), mineral specific TiO₂ contents, beneficiation performance and concentrate specifications. State licence documentation and historical reserve approvals exist, making the data directly translatable into a CRIRSCO style framework even where some tonnages are confidential.
Classification Alignment: 1
Justification: Residual reserves are formally approved as GKZ C2 and cross referenced to UNFC code 332 by the State Commission of Ukraine. This provides a clear classification anchor that can be crosswalked to PERC or CRIRSCO resource categories.</t>
  </si>
  <si>
    <t>Irshanske is an alluvial ilmenite placer deposit located in the northern part of Zhytomyr Oblast, discovered in 1951 and operated continuously since 1956. Ilmenite mineralisation occurs in Quaternary alluvial sands formed by erosion of a Mesozoic weathering crust developed on ilmenite-bearing gabbro-anorthosite hard rocks. The average thickness of the productive horizon is 8.2 m, with overburden thickness ranging from 0.2 to 17 m, and an average ilmenite content of 50.6 kg per tonne of sand. The deposit is mined by the Irshanskiy Mining and Beneficiation Plant, which produces ilmenite concentrate for use in titanium dioxide pigment and titanium sponge production, making Irshanske one of the key operating titanium placer deposits within Ukraine’s current titanium supply base.</t>
  </si>
  <si>
    <t>Geological Evidence: 1
Justification: The entry describes a clearly defined and long operating alluvial ilmenite placer with known geometry, host sediments, mineral source, and continuous mining since the 1950s. This confirms demonstrable titanium mineralisation rather than speculative occurrence.
Data Quality: 1
Justification: Numerical data are provided for productive horizon thickness, overburden thickness, and ilmenite content expressed quantitatively per tonne of sand. Long term industrial operation and state documentation support translatability to a CRIRSCO style framework.
Classification Alignment: 1
Justification: Irshanske is a formally recognised and operating placer deposit within Ukraine’s state mineral resource system, with historical reserve approvals and continuous industrial exploitation. This constitutes a clear classification anchor that can be crosswalked to PERC or CRIRSCO categories.</t>
  </si>
  <si>
    <t>Lemnenske</t>
  </si>
  <si>
    <t xml:space="preserve"> 50°46'24.95"N</t>
  </si>
  <si>
    <t xml:space="preserve"> 28°31'59.80"E</t>
  </si>
  <si>
    <t>Ganzha, O. A., Kovalchuk, M. S., &amp; Kuzmanenko, H. O. (2025). Zirconium titanium deposits of the Ukraine placer province: Genesis, geological characteristics and mineralogy. Journal of Geology, Geography and Geoecology, 34(2), 275–291. https://doi.org/10.15421/112524
Irshansk Mining and Processing Plant. (n.d.). About the Irshansk mining and processing plant. United Mining and Chemical Company. https://www.umcc-titanium.com/en/irshansk-mining-and-processing-plant/
Ministry of Environmental Protection and Natural Resources of Ukraine, &amp; Ukrainian Geological Survey. (n.d.). Investment opportunities in exploration and production of strategic and critical minerals. Government of Ukraine. https://www.geo.gov.ua</t>
  </si>
  <si>
    <t>Lemnenske is a titanium placer deposit within the Irshanska Group in Zhytomyr Oblast, northern Ukraine, forming part of the Volyn Irshansk titanium zirconium placer province and the wider Irshansk mining district historically operated by the Irshansk Mining and Processing Plant. It is a continental alluvial heavy mineral sand deposit of Lower Cretaceous age, hosted mainly in sands and sandy clays of the Irshansk suite, with mineralisation controlled by buried palaeovalleys and depressions developed on uneven crystalline basement relief. The deposit formed through weathering and erosion of titanium bearing crystalline source rocks followed by fluvial transport and sedimentary concentration of heavy minerals, and belongs to a regional placer system spanning multiple stratigraphic levels from Paleozoic to Cenozoic across northern Ukraine. The dominant ore mineral is ilmenite (FeTiO₃), with associated heavy minerals including leucoxene, rutile, and zircon, consistent with economically exploitable titanium mineral sand systems. Although Lemnenske specific reserve tonnages and grades are not publicly disclosed due to confidentiality under Ukrainian subsoil regulation, comparable Lower Cretaceous Irshansk suite placers typically show highly variable heavy mineral concentrations ranging from tens to several hundred kilograms per cubic metre, productive horizon thicknesses commonly from several metres to more than ten metres, and lateral continuity controlled by palaeochannel morphology. Mining in the district is by open cast methods with beneficiation based on gravity, magnetic, and electrostatic separation to produce ilmenite concentrate for titanium dioxide pigment production and titanium sponge feedstock. Lemnenske is subdivided into East and West blocks in licensing and investment documentation, indicating internal geological and economic heterogeneity, and the area also includes technogenic titanium bearing tailings resources that may offer lower mining costs but introduce additional metallurgical and environmental considerations.</t>
  </si>
  <si>
    <t>Geological Evidence: 1
Justification: Lemnenske is described as a well defined continental alluvial heavy mineral placer within an established titanium zirconium placer province, with clear genetic model, host stratigraphy, palaeovalley control and a mineral assemblage dominated by ilmenite with rutile, leucoxene and zircon. This constitutes demonstrable mineralisation rather than speculative occurrence.
Data Quality: 0
Justification: No Lemnenske specific tonnage or grade data are reported. The description relies on analogues from the wider Irshansk suite and regional placer systems, with confidentiality explicitly noted. Without deposit specific numerical tonnage or grade data, the information cannot be translated into a CRIRSCO style framework.
Classification Alignment: 0
Justification: Although Lemnenske is referred to as a deposit within licensing and investment documentation, no GKZ, UNFC or state approved reserve or resource category is explicitly cited for this site. Under the conservative rule, the absence of a formal classification anchor requires a No score.</t>
  </si>
  <si>
    <t>Mezhyrichne</t>
  </si>
  <si>
    <t xml:space="preserve"> 51° 5'5.19"N</t>
  </si>
  <si>
    <t xml:space="preserve"> 28°47'2.88"E</t>
  </si>
  <si>
    <t>Mykhailov, V. A., Malyuk, B., Kovalenko, N., Bertrand, G., de Oliveira, D., Wittenberg, A., Wellmer, F.-W., Horwath, Z., Hollis, J., Wall, P., &amp; Quijano Gaudes, L. (2023). Strategic minerals of Ukraine and their investment attractiveness.
Ganzha, O. A., Kovalchuk, M. S., &amp; Kuzmanenko, H. O. (2025). Zirconium-titanium deposits of Ukraine placer province: Genesis, geological characteristics and mineralogy. Journal of Geology, Geography and Geoecology, 34(2), 275–291.</t>
  </si>
  <si>
    <t>Mezhyrichne is a titanium bearing placer deposit located in Zhytomyr Oblast, northern Ukraine, within the Irshansk titanium zirconium placer province. It is consistently identified in peer reviewed geological literature as part of the Irshansk group of continental alluvial placer deposits, together with deposits such as Irshanske, Lemnenske, Zlobytske, Valky Hatskivske, Ushynske, and Ushomyrske. The deposit is classified as a continental alluvial heavy mineral sand placer, formed by sedimentary concentration of heavy minerals derived from the erosion and redeposition of titanium bearing source rocks. The dominant ore mineral is ilmenite, and the mineral assemblage is typical of the Irshansk placer system, which commonly includes titanium oxide minerals and zirconium bearing phases. Mezhyrichne is recognised in the literature as a commercially significant titanium placer, but deposit specific data on reserves, grades, thicknesses, and cut off parameters are not publicly disclosed and remain confidential under Ukrainian subsoil regulation. The deposit’s inclusion in national geological and industrial inventories confirms its economic relevance within Ukraine’s titanium mineral resource base, but quantitative resource and economic metrics are not available in open access sources.</t>
  </si>
  <si>
    <t>Geological Evidence: 1
Justification: Mezhyrichne is described as a recognised continental alluvial titanium placer within the Irshansk placer province, with a clear genetic model, typical heavy mineral assemblage and consistent treatment in peer reviewed geological literature. This confirms real mineralisation rather than speculative occurrence.
Data Quality: 0
Justification: No deposit specific numerical data on tonnage, grade, productive horizon thickness or contained titanium are publicly reported. The description relies on regional context and confidentiality statements, which prevents translation into a CRIRSCO style framework.
Classification Alignment: 0
Justification: Although Mezhyrichne is referred to as a deposit and is included in national inventories, no explicit GKZ, UNFC or state approved reserve or resource category is cited in the provided information. Under the conservative rule, this lacks a formal classification anchor.</t>
  </si>
  <si>
    <t>Valky-Gatskivske</t>
  </si>
  <si>
    <t>Mykhailov, V. A., Malyuk, B., Kovalenko, N., Bertrand, G., de Oliveira, D., Wittenberg, A., Wellmer, F.-W., Horwath, Z., Hollis, J., Wall, P., &amp; Quijano Gaudes, L. (2023). Strategic minerals of Ukraine and their investment attractiveness.
Ganzha, O. A., Kovalchuk, M. S., &amp; Kuzmanenko, H. O. (2025). Zirconium titanium deposits of Ukraine placer province: Genesis, geological characteristics and mineralogy. Journal of Geology, Geography and Geoecology, 34(2), 275–291. https://doi.org/10.15421/112524
Ganzha, O. A., Kuzmanenko, H. O., Okholina, T. V., &amp; Remezova, O. O. (2024). Suchasnyi stan mineralno-syrovynnoi bazy rozsypnykh rodovyshch tytanu Ukrainy [Current state of the mineral resource base of placer titanium deposits of Ukraine]. Visnyk Kyivskoho natsionalnoho universytetu imeni Tarasa Shevchenka. Heolohiia, (99), 60–69. https://doi.org/10.17721/1728-2713.99.08
Sivoronov, A., Bohdanova, M., &amp; Venhlivska, V. (2016). Mineralohichni osoblyvosti ta umovy formuvannia ilmenitovykh rud Valky-Hatskivskoho rodovyshcha [Mineralogical features and formation conditions of ilmenite ores of the Valky-Gatskivske deposit]. Visnyk Lvivskoho universytetu. Seriia heolohichna, 30, 63–69.
Extractive Industries Transparency Initiative. (2018). EITI report of Ukraine 2016. EITI Ukraine.
Bank Gospodarstwa Krajowego. (2025). The current state and prospects of extracting critical raw materials in Ukraine. Research and Analysis Department.
Limited Liability Company Valky-Ilmenite. (2024). Report on compliance with emission permit conditions for the Valky-Hatskivske deposit. Zhytomyr Oblast.</t>
  </si>
  <si>
    <t>Valky-Gatskivske is an ilmenite placer titanium deposit located in Zhytomyr Oblast, Korosten district, near Rudnia-Hatskivka, and forms part of the Irshansk group of placer deposits within the Volyn titanium-bearing region of the Ukrainian Shield. The deposit is of exogenous origin and is genetically linked to the Korosten pluton, composed mainly of anorthosites, gabbro-anorthosites, and related basic rocks. Ore mineralisation occurs in alluvial and alluvial-deluvial sediments and in the upper part of the weathering crust, with productive horizons developed within buried palaeovalleys and valley-like depressions of Middle Jurassic, Lower Cretaceous, Paleogene, Miocene, and Quaternary age, indicating multi-stage sedimentary concentration. The dominant ore mineral is ilmenite, present in both alluvial sands and weathering crust material, with documented differences in grain-size distribution, clay content, and liberation characteristics between these ore types, affecting beneficiation behaviour. Mineralogical studies based on multiple technological samples confirm the technological suitability of the ilmenite for TiO₂ pigment production using sulphate processing routes. The total thickness of ore-bearing horizons varies from approximately 1–2 m to 15–30 m, reflecting strong palaeorelief control. Valky-Gatskivske contributes to the raw material base of the Irshansk mining and beneficiation system, which produces ilmenite concentrate for titanium dioxide pigment and titanium sponge, with 52–65% TiO₂ reported for concentrates at plant level, not deposit-specific. The deposit is operated by LLC Valky-Ilmenite, which holds valid environmental and emissions permits and reports regulatory compliance, confirming active subsoil use and site location. Valky-Gatskivske is consistently listed in academic and national assessments as an economically relevant Cenozoic titanium placer deposit within Ukraine’s strategic titanium mineral resource base, while deposit-specific reserves, grades, production volumes, and any scandium content remain undisclosed and are not reported in open sources .</t>
  </si>
  <si>
    <t>Geological Evidence: 1
Justification: Valky-Gatskivske is a well documented ilmenite placer deposit with clearly described geological setting, genetic link to the Korosten pluton, mapped palaeovalley controlled ore bodies, and confirmed heavy mineral assemblages. Active operation and permitting confirm demonstrable mineralisation.
Data Quality: 0
Justification: While mineralogical characteristics, horizon thickness ranges and technological suitability are described, no deposit specific numerical grades, tonnages, or reserve figures are publicly reported. Plant level concentrate specifications are not attributable to this deposit alone. Without traceable deposit scale tonnage or grade data, the information cannot be translated into a CRIRSCO style framework.
Classification Alignment: 0
Justification: Despite being referred to as an economically relevant deposit and an active operation, no explicit GKZ, UNFC, or state approved reserve or resource category is cited in the provided material. Under the conservative rule, the absence of a formal classification anchor requires a No score.
Total Score: 1</t>
  </si>
  <si>
    <t>Vovchanske is a coastal marine titanium bearing placer deposit located in Dnipropetrovsk Oblast, central Ukraine, within the Ukrainian Shield. Titanium mineralisation is hosted in fine grained, well sorted quartz sands of Middle Sarmatian age, with partial occurrence in sands of the Poltavska Series. The deposit consists of three subparallel ore bodies (Northern, Central, Southern) extending 15 to 20 km in length, 50 to 1050 m in width, and 3 to 7 m in thickness, overlain by 0.9 to 33.5 m of sediments. Ore sands are quartz dominated and clay free, with titanium occurring mainly as ilmenite at 80 to 100 kg per cubic metre, accompanied by rutile and leucoxene at 25 to 31 kg per cubic metre. The heavy mineral assemblage is dominated by ilmenite, with subordinate titanium oxide phases, and is well suited to conventional gravity, magnetic, and electrostatic beneficiation. The placer is a detrital system derived from weathering of crystalline rocks of the Ukrainian Shield. Titanium resources are concentrated mainly in the Northern ore body, and industrial extraction is carried out by open pit mining. Vovchanske is one of the actively developed titanium placer deposits of Ukraine and forms part of the country’s strategic titanium raw material base (Ganzha, 2024; Mykhailov et al., 2023).</t>
  </si>
  <si>
    <t>Geological Evidence: 1
Justification: Vovchanske is a clearly defined and actively mined coastal marine Ti placer with mapped geometry, multiple ore bodies, quantified thickness and continuity, and a mineral assemblage dominated by ilmenite. This confirms demonstrable titanium mineralisation rather than speculative occurrence.
Data Quality: 1
Justification: Numerical titanium related grades are reported in kg per cubic metre for ilmenite and associated Ti minerals, together with dimensions of ore bodies and stratigraphic context. These data are traceable to peer reviewed sources and are translatable into a CRIRSCO style framework even without published total tonnages.
Classification Alignment: 0
Justification: Although described as an actively developed deposit and part of the strategic titanium base, no explicit GKZ, UNFC, or state approved reserve or resource category is cited for Vovchanske in the provided information. Under the conservative rule, this lacks a formal classification anchor.
Total Score: 2</t>
  </si>
  <si>
    <t>Birzulivske</t>
  </si>
  <si>
    <t xml:space="preserve"> 48°44'38.57"N</t>
  </si>
  <si>
    <t xml:space="preserve"> 31°27'43.21"E</t>
  </si>
  <si>
    <t>Mykhailov, V. A., Malyuk, B., Kovalenko, N., Bertrand, G., de Oliveira, D., Wittenberg, A., Wellmer, F.-W., Horwath, Z., Hollis, J., Wall, P., &amp; Quijano Gaudes, L. (2023). Strategic minerals of Ukraine and their investment attractiveness.Velta LLC. (2026). Production. https://velta.us/production/
Velta LLC. (2026). CMC Cometals invests $30 million in Likarivske deposit. https://velta.us/cmc-cometals-invests-30-mln-in-likarivske-deposit/</t>
  </si>
  <si>
    <t>The Birzulivske deposit contains approximately 3 million tonnes of high-quality ilmenite. The distinctive mineralogical characteristics of the ore allow the production of two ilmenite concentrate grades, differentiated by their TiO₂, FeO, and Fe₂O₃ contents. This flexibility enables the manufacture of a range of products tailored to different customer requirements. Ilmenite from the Birzulivske deposit is suitable for titanium dioxide production via both the sulphate and chloride processes, as well as for the production of titanium slag, synthetic rutile, and electrodes. The Birzulivske mining and processing plant currently has a production capacity of up to 270,000 tonnes of ilmenite concentrate per year.</t>
  </si>
  <si>
    <t>Geological Evidence: 1
Justification: Birzulivske hosts demonstrable hard rock ilmenite mineralisation with defined ore bodies and established mining and processing operations. The presence of mineable ilmenite is confirmed by active production and industrial scale beneficiation.
Data Quality: 1
Justification: Numerical tonnage figures are reported, including an estimated 3 million tonnes of ilmenite ore and an annual concentrate production capacity of up to 270,000 tonnes. These values are traceable to industrial sources and are translatable into a CRIRSCO style framework.
Classification Alignment: 0
Justification: No GKZ, UNFC, or state approved reserve or resource category is explicitly cited for Birzulivske in the provided information. Despite active operation, the absence of a formal published classification anchor requires a conservative No score.</t>
  </si>
  <si>
    <t>Likarivske</t>
  </si>
  <si>
    <t>Placer (Ti bearing mineral sands)</t>
  </si>
  <si>
    <t xml:space="preserve"> 48°45'40.65"N</t>
  </si>
  <si>
    <t xml:space="preserve"> 31°32'16.37"E</t>
  </si>
  <si>
    <t>Okholina, T., &amp; Kuzmanenko, H. (2023). Comparative geological and economic assessment of the titanium deposits of Ukraine using the example of the Novomyrhorod placers district. Visnyk of Taras Shevchenko National University of Kyiv. Geology, 3(102), 69–73. https://doi.org/10.17721/1728-2713.102.09</t>
  </si>
  <si>
    <t>The Birzulivske and Likarivske titanium deposits are located in the Novomyrhorod placer district, Kirovohrad region, central Ukraine. Birzulivske is the highest ranked placer deposit in the district based on geological and economic criteria, with established mining and processing infrastructure. Likarivske is located approximately 6 km from the operating Birzulivske mining and processing plant and forms part of the same palaeovalley system. Velta LLC obtained a special permit from the State Service for Geology and Subsoil of Ukraine to develop the Likarivske deposit after a five year permitting process. The license allows construction of a mining and processing complex with a planned capacity of 120,000 tonnes of ilmenite concentrate per year, requiring capital investment of USD 30 million. The project is financed through a strategic cooperation memorandum with CMC Cometals, under which the US partner will prefund construction. The Likarivske project represents an expansion of the Birzulivske operation, which has been operating in the region for five years. Combined annual titanium feedstock capacity from Birzulivske and Likarivske is expected to reach approximately 390,000 tonnes. The Likarivske facility is projected to create 300 to 350 jobs, in addition to approximately 500 employees at Birzulivske. Geological exploration at Likarivske has been completed, and the project is currently at the facility design stage, pending final regulatory approvals.</t>
  </si>
  <si>
    <t>Geological Evidence: 1
Justification: Likarivske is described as a titanium bearing placer within a mapped palaeovalley system genetically linked to the operating Birzulivske deposit. Geological exploration has been completed and the site is treated as a mineable placer extension rather than a speculative occurrence.
Data Quality: 0
Justification: While planned production capacities, capital investment figures and permitting status are reported, no deposit specific numerical data on ore tonnage, in situ grades, or resource figures are provided. Infrastructure and project scale data do not substitute for translatable tonnage and grade information under CRIRSCO style rules.
Classification Alignment: 0
Justification: Although a special permit has been granted for development, no GKZ, UNFC, or state approved reserve or resource category is explicitly cited for Likarivske in the provided information. Under the conservative rule, the absence of a formal classification anchor requires a No score.
Total Score: 1</t>
  </si>
  <si>
    <t>Balka Kruta (technogenic deposit)</t>
  </si>
  <si>
    <t>Balka Kruta is a technogenic titanium bearing deposit formed from reprocessed beneficiation wastes of the Malyshevske Ti Zr placer system. The material consists of zircon rutile ilmenite sands, with titanium occurring mainly as ilmenite and rutile, and subordinate leucoxene. The deposit represents a secondary anthropogenic accumulation derived from placer sands originally sourced from weathered anorthosite and gabbro anorthosite rocks of the Ukrainian Shield. It is not genetically related to primary magmatic, pegmatitic, or hydrothermal rare metal systems. National strategic mineral assessments classify Balka Kruta as a recoverable technogenic titanium resource with potential economic value due to pre concentrated heavy minerals and minimal overburden. Detailed titanium reserve figures are not publicly disclosed.</t>
  </si>
  <si>
    <t>Geological Evidence: 1
Justification: Balka Kruta represents a demonstrable technogenic accumulation of titanium bearing heavy minerals derived from reprocessed placer beneficiation wastes. The material composition and origin are clearly documented, confirming real titanium mineralisation even though it is anthropogenic rather than primary.
Data Quality: 0
Justification: No numerical tonnage, grade, or reserve figures are publicly reported for the technogenic material. Descriptions remain qualitative and strategic, without traceable quantitative data that could be translated into a CRIRSCO style framework.
Classification Alignment: 0
Justification: Although classified in strategic assessments as a technogenic titanium resource, no GKZ, UNFC, or state approved reserve or resource category is explicitly cited for Balka Kruta. Under the conservative rule, this lacks a formal classification anchor.</t>
  </si>
  <si>
    <t>Stremygorodske, the largest undeveloped hard rock titanium deposit, is located in the Zhytomyr region within troctolites of the southern Chepovytskiy gabbro anorthosite massif (Korostenskiy pluton) and was discovered in 1954. The ore body is oval in plan (2.3 × 1.0 km), elongated northwestwards, and funnel shaped in cross section. Apatite ilmenite mineralisation is evenly disseminated, mainly in troctolites, with TiO2 contents of 6.9 to 8.17 percent and P2O5 of 2.8 to 4.5 percent in the central zone, decreasing to 3.36 to 5.9 percent TiO2 and 0.65 to 1.5 percent P2O5 on the margins. A weathering crust up to 35 to 40 m thick (average 15.2 m) contains 10.8 percent TiO2 and up to 2.6 percent P2O5, yielding ilmenite concentrates with 49 to 51 percent TiO2 and apatite concentrates with 38.5 to 40.5 percent P2O5. The deposit is complex, containing scandium, vanadium, fluorine, kaolin, gruss, weathered gabbro, and gabbro anorthosite in addition to titanium minerals and apatite. Drilling includes three exploration wells to depths of 420 to 520 m. Estimated reserves include 31,826.3 kt of apatite (categories B+C1+C2), with average grades of 6.91 percent TiO2, 2.42 percent P2O5, 0.2 percent vanadium, 2.22 percent fluorine in apatite, and scandium at 80 g/t, although titanium and scandium resource figures remain confidential.</t>
  </si>
  <si>
    <t>Geological Evidence: 1
Justification: Stremygorodske is a well defined hard rock apatite ilmenite deposit with mapped geometry, documented host lithologies, drilled ore bodies, weathering crust mineralisation and quantified grade ranges. This constitutes demonstrable mineralisation rather than speculative potential.
Data Quality: 1
Justification: Numerical grade data are reported for TiO₂ and P₂O₅ in both primary ore and weathering crust, along with dimensions, drilling depths and quantified reserve figures for associated apatite. Even though titanium tonnages are confidential, the reported grades and reserve style data are translatable to a CRIRSCO style framework.
Classification Alignment: 1
Justification: State reserve categories B, C1 and C2 are explicitly cited for apatite, and the deposit is covered by an official state licence. These GKZ style categories provide a clear classification anchor that can be crosswalked to PERC or CRIRSCO categories.
Total Score: 3</t>
  </si>
  <si>
    <t>Hard rock apatite ilmenite titanium</t>
  </si>
  <si>
    <t>Fedorivske is a hard rock apatite–ilmenite titanium deposit hosted in a stratified gabbroic intrusion of the Volodarsk–Volynskiy Massif, Ukrainian Shield. Titanium occurs primarily as ilmenite, with associated apatite, and elevated concentrations of vanadium and scandium. Average grades reported for the deposit are approximately 6.5 percent TiO₂, 2.9 percent P₂O₅, and 0.042 percent V₂O₅. The deposit is planned for open pit mining, with beneficiation foreseen at the Stremygorodske mining and processing facility.
Comparative analysis with global manganese deposit models demonstrates that Fedorivske is not genetically related to sedimentary, basin hosted, or hydrogenetic manganese systems described for the Urals, Eastern Paratethys, or global Mn accumulation epochs. Unlike manganese deposits formed during specific redox controlled sedimentary events, Fedorivske formed through magmatic differentiation and cumulate processes within mafic intrusions of the Ukrainian Shield. Therefore, manganese geochemical models and accumulation phases outlined by Hamza and Hany (2023), Mikhailov (2001), Varentsov et al. (1997), and Kuleshov (2011) are not applicable to the genesis of the Fedorivske titanium mineralisation.</t>
  </si>
  <si>
    <t>Geological Evidence: 1
Justification: Fedorivske is described as a hard rock apatite ilmenite titanium deposit hosted in a stratified gabbroic intrusion, with defined ore mineralogy, genetic model and reported grade ranges. Titanium mineralisation is demonstrable and not speculative.
Data Quality: 1
Justification: Numerical grades are reported for TiO₂, P₂O₅ and V₂O₅, and the deposit is described in the context of planned mining and beneficiation. Although tonnage figures are not provided, the presence of quantified grades and a defined deposit model allows translation into a CRIRSCO style framework.
Classification Alignment: 0
Justification: No GKZ, UNFC or state approved reserve or resource category is explicitly cited for Fedorivske in the provided information. Despite deposit status and development planning, the absence of a formal classification anchor requires a conservative No score.
Total Score: 2</t>
  </si>
  <si>
    <t>Paromivske</t>
  </si>
  <si>
    <t xml:space="preserve"> 50°34'7.60"N</t>
  </si>
  <si>
    <t xml:space="preserve"> 28°30'19.21"E</t>
  </si>
  <si>
    <t>State Geological and Subsoil Service of Ukraine. (2021). Investment opportunities in exploration and production of strategic and critical minerals. https://www.geo.gov.ua/wp-content/uploads/presentations/en/investment-opportunities-in-exploration-production-strategic-and-critical-minerals.pdf
State Geological and Subsoil Service of Ukraine. (2018). Paromivske ilmenite deposit [Technical report]. https://nadraukrayny.com.ua/wp-content/uploads/2016/02/paromivskeilmenitedeposit_eng.pdf
Anti-Corruption Action Centre. (2021). Analysis: Generals of titanium ores. Who controls Ukrainian strategic deposits. https://antac.org.ua/en/news/analysis-generals-of-titanium-ores-who-controls-ukrainian-strategic-deposits/</t>
  </si>
  <si>
    <t>Paromivske is a titanium ore deposit located in the Volodarsk Volynsk area of Zhytomyr region, Ukraine, on the watershed between the Upper Irsha River and its right bank tributary Poromivka, between the settlements of Volodarsk Volynsk, Nemyrivka, and Poromivka. The deposit comprises two plots with a total area of 193.79 ha, including Plot No. 1 (35.99 ha) and Plot No. 2 (157.80 ha). The mineral commodity is titanium, occurring primarily as ilmenite.
The deposit forms part of the Irshansk cluster of ilmenite bearing alluvial and re mined deposits discovered between 1955 and 1959 by the Western Ukrainian geological expeditions of the Kyivgeologiya trust. Geological exploration at Paromivske was conducted between 1969 and 1971 using hammer impact drilling, initially on a 1600 × 320–80 m grid, subsequently densified to 800–400 × 160–80 m, and locally to 200 × 80–40 m in the most prospective zones.
The productive strata consist of Paleogene Neogene quartz kaolinite inequigranular sands and kaolin rich weathering crust developed on gabbroid rocks, with alluvial material comprising approximately 60 percent of the total ore bearing volume. Ilmenite mineralisation is characterised by stable grain composition and absence of toxic contaminants, making the material suitable for high quality titanium dioxide pigment production.
Exploratory resources are classified in categories C1 and C2, with ilmenite reserves assessed as high. Subsoil use is licensed for geological study, including research and potential commercial development of titanium ores under Special Permit No. 4346, valid from 13 March 2013 to 13 March 2018, held by LLC Zhytomyrburrozvidka.</t>
  </si>
  <si>
    <t>Geological Evidence: 1
Justification: Paromivske is a clearly defined hard rock to reworked ilmenite titanium deposit with mapped plots, described host lithologies, documented exploration drilling and confirmed ilmenite mineralisation. This demonstrates real mineralisation rather than speculative occurrence.
Data Quality: 1
Justification: Quantitative exploration information is reported, including defined deposit area, drilling grids, stratigraphic descriptions and classification of ilmenite resources. While detailed grades are not fully disclosed in the summary, the presence of documented exploration campaigns and reserve style assessment allows translation into a CRIRSCO style framework.
Classification Alignment: 1
Justification: Exploratory resources are explicitly classified in GKZ style categories C1 and C2, and the deposit is covered by an official special permit issued by the State Geological and Subsoil Service of Ukraine. This provides a clear classification anchor suitable for crosswalking to PERC or CRIRSCO categories.
Total Score: 3</t>
  </si>
  <si>
    <t>Kropyvnyanske</t>
  </si>
  <si>
    <t xml:space="preserve"> 50°34'11.38"N</t>
  </si>
  <si>
    <t xml:space="preserve"> 27°49'24.78"E</t>
  </si>
  <si>
    <t>Kharytonov, V. (2013). Titanium potential of Ukraine as a constituent of development strategy for raw material base of Europe. Heoloho-mineralohichnyi visnyk Kryvorizkoho natsionalnoho universytetu (Geological and Mineralogical Bulletin of Kryvyi Rih National University), 1–2(29–30). https://irbis-nbuv.gov.ua/cgi-bin/opac/search.exe?C21COM=2&amp;I21DBN=UJRN&amp;IMAGE_FILE_DOWNLOAD=1&amp;Image_file_name=PDF%2Fgmvknu_2013_1-2_8.pdf&amp;P21DBN=UJRN
Kharytonov, V. (2013). Tytan i ridkisni metaly v rudoutvoriuvalnykh mineralakh Kropyvnianskoho rodovyshcha (Ukrainskyi shchyt) [Titanium and rare metals in ore-forming minerals of the Kropyvnyanske deposit (Ukrainian Shield)]. Mineralohichnyi zbirnyk (Mineralogical Review), 63(1), 60–66. https://publications.lnu.edu.ua/collections/index.php/mineralogy/article/download/905/901
Kharytonov, V. M., &amp; Lypko, O. V. (2015). Pyroxene chemical composition peculiarities from Kropyvnianske deposit of phosphorus-titanium ores (Ukraine). Naukovyi Visnyk Natsionalnoho Hirnychoho Universytetu (Scientific Bulletin of National Mining University), (5). https://irbis-nbuv.gov.ua/cgi-bin/irbis_nbuv/cgiirbis_64.exe?C21COM=2&amp;I21DBN=UJRN&amp;IMAGE_FILE_DOWNLOAD=1&amp;Image_file_name=PDF%2FNvngu_2015_5_3.pdf&amp;P21DBN=UJRN
State Geological and Subsoil Service of Ukraine. (2021, January). License for the “Kropyvenka” field of titanomagnetite-ilmenite ores with apatite [PDF]. https://www.geo.gov.ua/wp-content/uploads/2021/01/KROPYVENKA_license.pdf</t>
  </si>
  <si>
    <t>Kropyvnyanske is a primary hard-rock phosphorus–titanium (Fe–Ti–P) deposit located in Zhytomyr Oblast, within the Volodarsk-Volynsk anorthosite massif of the Korostenskyi pluton, Ukrainian Shield. The ore body is lens-shaped, elongated to the north-east and north, approximately 1.5 km long, 0.8 km wide, with a cup-shaped cross-section and a maximum thickness of about 350 m. It is overlain by Mesozoic–Cenozoic sediments.
Ore-hosting rocks comprise gabbro, melanocratic gabbro, gabbro-peridotites, peridotites, and plagioclase peridotites, forming a zoned intrusive sequence from feldspathised gabbro-anorthosites at the margins to ore olivine gabbro, olivine pyroxenites, and peridotites in the core. Ores are medium- to coarse-grained, locally porphyritic and sideronitic, with spotted to disseminated textures.
The deposit is classified as an apatite–ilmenite–titanomagnetite–ulvospinel type. Principal titanium-bearing minerals are ilmenite, titanomagnetite, and ulvospinel, with apatite as a major associated mineral. Average reported grades for ore gabbroids are approximately 7.8 wt% TiO₂ and 3.2 wt% P₂O₅. Associated elements include V, Sc, Cr, Co, Ni, Zr, Cu, Zn, Nb, and Sr.
Electron microprobe analyses (193 points) of two- and three-phase intergrowths define the following compositional ranges (wt% elements):
Ilmenite (n=65): Ti 30.08–31.32 (mean 30.57); Sc 0.01–0.18 (0.11); V 0.00–0.31 (0.13).
Ulvospinel (n=68): Ti 14.95–29.39 (22.03); Sc 0.00–0.78 (0.25); V 0.04–1.13 (0.47).
Titanomagnetite (n=60): Ti 15.17–17.02 (14.86); Sc 0.00–0.73 (0.14); V 0.21–1.04 (0.39).
Titanomagnetite is defined operationally as magnetite containing &gt;5 wt% TiO₂. The close intergrowth of Ti-oxide phases necessitates beneficiation by fine grinding, desliming, gravity separation, wet magnetic separation, flotation for apatite, and magnetic/electrostatic separation for ilmenite.
Clinopyroxenes are predominantly high-Ca augite, with lower Si and Mg and higher Ti, Al, Fe, Mn, Ca, and Na compared to other Ukrainian titanium deposits. Zoning from rim to core shows increases in Si, Fe, Mn, Na, and V, and a decrease in Ca. Pyroxenes contain elevated Sc (~8,300 g/t) and V (~5,300 g/t), exceeding cited minimum industrial thresholds (100 g/t Sc; 1,000 g/t V), indicating by-product recovery potential.
The Kropyvenka field was identified by drilling in 1980. Development is considered suitable for open-pit mining due to favourable geometry, low overburden, absence of barren interlayers, and similar mechanical properties of ore and host rocks. Reported water inflows are 4,474 m³/day (groundwater), 974 m³/day (precipitation), and up to 131,000 m³/day during heavy rainfall. State balance reserves of P₂O₅ total 5,429 thousand tonnes (C1 + C2); TiO₂ reserve tonnages are restricted.</t>
  </si>
  <si>
    <t>Geological Evidence: 1
Justification: Kropyvnyanske is a clearly defined primary hard rock Fe–Ti–P deposit with mapped ore body geometry, documented intrusive host rocks, well characterised mineral assemblages, drilling history and demonstrated titanium bearing mineralisation. This constitutes demonstrable mineralisation rather than speculative occurrence.
Data Quality: 1
Justification: Quantitative grade data are reported for TiO₂ and P₂O₅, supported by extensive mineral chemical analyses and drilling based geological definition. Although TiO₂ reserve tonnages are restricted, the available numerical grades and geological parameters are sufficient to allow translation into a CRIRSCO style framework.
Classification Alignment: 1
Justification: State balance reserves are explicitly reported for P₂O₅ in GKZ categories C1 and C2, and the deposit is covered by an official state licence. These GKZ style classifications provide a clear classification anchor that can be crosswalked to PERC or CRIRSCO categories, even if titanium tonnages are confidential.</t>
  </si>
  <si>
    <t>Metallic and Non‑Metallic Minerals of Ukraine. Volume II. Non‑Metallic Minerals by D. S. Gurskiy, K. Yu. Esipchuk, and V. I. Kalinin et al. (2006).
Gurskiy, D. S., Esipchuk, K. Yu., Kalinin, V. I., et al. (2006). Metallic and non-metallic minerals of Ukraine. Volume II: Non-metallic minerals. Kyiv: State Scientific Production Enterprise “Geoinform of Ukraine”.
Mykhailov, V. A., Malyuk, B., Kovalenko, N., Bertrand, G., de Oliveira, D., Wittenberg, A., Wellmer, F.-W., Horwath, Z., Hollis, J., Wall, P., &amp; Quijano Gaudes, L. (2023). Strategic minerals of Ukraine and their investment attractiveness. BRGM; Taras Shevchenko National University of Kyiv; EuroGeoSurveys.</t>
  </si>
  <si>
    <t>Nosachivske is a primary hard-rock apatite–ilmenite titanium deposit located in Cherkasy Oblast, central Ukraine, within the Korsun–Novomyrhorod pluton of the Ukrainian Shield, controlled by the intersection of the Tarasivskyi and Kaniv–Novomyrhorod fault zones. Mineralisation is hosted by a norite massif and forms a linear stockwork approximately 2.25 km long and 200–780 m wide, composed of sheet-like ore bodies with local apophyses and xenoliths. Two main ore bodies are recognised: one steeply dipping and one anticlinal.
Two magmatic phases are present: apatite–ilmenite norites with higher P₂O₅, and ilmenite-rich norites with higher TiO₂, reflecting magmatic differentiation. Average grades are approximately 5.5 wt% TiO₂ and 1.2 wt% P₂O₅, with plagioclase &gt;50 wt%. Associated vanadium occurs in ilmenite, with P1 resources of ~86.6 kt V₂O₅ and ~4.4 Mt P₂O₅, at average grades of ~0.22 wt% V₂O₅, 1.26 wt% P₂O₅, and 4.75 wt% TiO₂. Reported TiO₂ reserve tonnages are restricted.
The principal ore minerals are ilmenite and apatite, with accessory plagioclase, pyroxene, and minor magnetite. The ore shows favourable beneficiation characteristics for ilmenite and apatite recovery. Resource expansion is expected along deposit flanks and at depth; the deposit remains undeveloped.</t>
  </si>
  <si>
    <t>Geological Evidence: 1
Justification: Nosachivske is a clearly defined primary hard rock apatite–ilmenite titanium deposit with mapped ore body geometry, fault controlled setting, described magmatic phases and documented mineral assemblages. Titanium mineralisation is demonstrable and not speculative.
Data Quality: 1
Justification: Quantitative grade data are reported for TiO₂, P₂O₅ and V₂O₅, together with dimensions of ore bodies and classified P1 resources for associated components. Although TiO₂ reserve tonnages are restricted, the available numerical data are sufficient to be translated into a CRIRSCO style framework.
Classification Alignment: 1
Justification: Prognostic resources (P1) are explicitly cited for vanadium and phosphorus, and the deposit is recognised in state level mineral inventories. These GKZ style categories provide a classification anchor that can be crosswalked to PERC or CRIRSCO categories under a conservative interpretation.</t>
  </si>
  <si>
    <t>Tarasivske</t>
  </si>
  <si>
    <t>Placer zircon rutile ilmenite sands</t>
  </si>
  <si>
    <t>Chernihiv</t>
  </si>
  <si>
    <t xml:space="preserve"> 50°58'56.65"N</t>
  </si>
  <si>
    <t xml:space="preserve"> 31° 2'36.17"E</t>
  </si>
  <si>
    <t>Mykhailov, V. A., Malyuk, B., Kovalenko, N., Bertrand, G., de Oliveira, D., Wittenberg, A., Wellmer, F.-W., Horwath, Z., Hollis, J., Wall, P., &amp; Quijano Gaudes, L. (2023). Strategic minerals of Ukraine and their investment attractiveness. BRGM; Taras Shevchenko National University of Kyiv; EuroGeoSurveys.
State Geological and Subsoil Service of Ukraine. (2021). Investment opportunities in exploration and production of strategic and critical minerals. https://www.geo.gov.ua/wp-content/uploads/presentations/en/investment-opportunities-in-exploration-production-strategic-and-critical-minerals.pdf
Micromine Consulting Services. (2011). JORC-compliant resource assessment of the Tarasivske titanium–zirconium deposit [Unpublished technical report].</t>
  </si>
  <si>
    <t>The Tarasivske deposit is a placer-type titanium–zirconium mineral sands deposit located in the Kyiv Oblast, central Ukraine, within the Middle Dnipro region. It is hosted by Neogene sediments of the Novopetrivska Suite, which overlie Paleogene deposits of the Buchatskiy, Kyivskiy, and Obukhivskiy stages and are covered by Quaternary sediments.
The deposit comprises three lithostratigraphic horizons, with economically significant mineralisation confined to the middle horizon. Ore bodies occur as stratiform and lens-shaped accumulations of fine- to medium-grained sands. The principal titanium-bearing minerals are ilmenite and rutile, with zircon as a major associated mineral. Numerous accessory heavy minerals are present, including disthene, sillimanite, staurolite, tourmaline, andalusite, anatase, brookite, corundum, spinel, chromium spinel, baddeleyite, monazite, xenotime, cassiterite, and topaz.
An industrial-scale beneficiation flowsheet for zircon–rutile–ilmenite sands was developed based on technological testing, incorporating gravity, magnetic, and electrostatic separation. In 2011, an independent resource assessment of the Tarasivske deposit was completed by Micromine Consulting Services in accordance with the JORC Code, confirming its industrial potential.
Although titanium, zirconium, and scandium reserve figures are confidential, published reserve data are available for several associated minerals. Reported reserves include disthene/sillimanite, staurolite, vanadium-bearing ores, and scandium-bearing ores, indicating polymetallic by-product potential. The deposit is described as mined out, but additional resources may remain in unmined safety pillars, subject to the development of safe extraction methods.</t>
  </si>
  <si>
    <t>Ukriane</t>
  </si>
  <si>
    <t>Geological Evidence: 1
Justification: Tarasivske is a well defined placer titanium zirconium deposit with described stratigraphy, ore horizons, mineral assemblage and documented beneficiation testing. The presence of mineable heavy mineral sands is clearly demonstrated and not speculative.
Data Quality: 1
Justification: Quantitative information exists in the form of an independent JORC compliant resource assessment, documented beneficiation flowsheets and reported reserve figures for associated minerals. Even though Ti and Zr tonnages are confidential, the existence of a formal resource estimate confirms that tonnage and grade data are translatable into a CRIRSCO style framework.
Classification Alignment: 1
Justification: A JORC compliant resource assessment constitutes a recognised international classification anchor that is directly compatible with CRIRSCO and PERC principles. This satisfies the requirement for an existing classification that can be crosswalked.
Total Score: 3</t>
  </si>
  <si>
    <t>Yuriivsko-Koziivska</t>
  </si>
  <si>
    <t>Placer Ti Zr mineral sands</t>
  </si>
  <si>
    <t>50°19'55.00"N</t>
  </si>
  <si>
    <t>28°46'10.00"E</t>
  </si>
  <si>
    <t>State Geological and Subsoil Service of Ukraine. (2021). Yuriivsko-Koziivskyi placer (Investment Atlas of Subsoil User) [PDF].
State Geological and Subsoil Service of Ukraine. (2021). Investment opportunities in exploration and production of strategic and critical minerals [Presentation].
Ganzha, O. A. (2025). Zirconium-titanium deposits of Ukraine placer province: Genesis, geological characteristics and mineralogy. Geology and Geography.</t>
  </si>
  <si>
    <t>Placer titanium and zirconium site in Zhytomyr Raion, Zhytomyr Oblast, about 6.3 km north-east of Korostyshiv, between Tesnivka, Nova Yuriivka, Koziivka and Horodske, on the watershed of the Teteriv, Myka and Svynoluzhka rivers. Area 23.5 km². Structurally within the Volyn block. Productive and most prospective unit is the Neogene Novopetrivska Suite; sand thickness 0.5 to 16.5 m (average about 6.5 m). Novopetrivska sands are light grey, fine-grained quartz, locally with coarser layers, lenses of kaolinite-cemented sandstones, secondary kaolin and grey plastic clays (0.5 to 5.4 m). Elevated heavy minerals, including titanium and zirconium, locally form placers. Quaternary cover 1.5 to 30 m; Quaternary alluvial sands contain collective concentrate 1.08 to 48.2 kg/m³. Placer geometry is two lenses oriented roughly west to east that merge centrally; the northern lens (Yuriivska) is &gt;6 km long and 0.4 to 1.5 km wide. Licence terms allow geological study including pilot development with subsequent production up to 20 years; indicated conditional ilmenite resources reported as P1 2.7 Mt at 163.02 kg/m³ and P3 2.8 Mt at 65.53 kg/m³.</t>
  </si>
  <si>
    <t>Geological Evidence: 1
Justification: Yuriivsko-Koziivska is a clearly defined placer Ti–Zr mineral sands site with described stratigraphy, lens geometry, sand thickness, and documented heavy mineral concentrations. The presence of titanium and zirconium mineralisation is demonstrable and not speculative.
Data Quality: 1
Justification: Quantitative figures are reported for sand thickness, heavy mineral concentrations (kg/m³), and conditional ilmenite resources with specified tonnages and grades (P1 and P3). These data are numerically stated, sourced, and directly translatable into a CRIRSCO style framework.
Classification Alignment: 1
Justification: Conditional resources are explicitly classified under GKZ style prognostic categories P1 and P3. These provide a formal classification anchor that can be conservatively crosswalked to PERC or CRIRSCO resource categories.
Total Score: 3</t>
  </si>
  <si>
    <t>Bilovodska</t>
  </si>
  <si>
    <t>Sumy</t>
  </si>
  <si>
    <t>51°05'30.00"N </t>
  </si>
  <si>
    <t>34°00'45.00"E</t>
  </si>
  <si>
    <t>State Geological and Subsoil Service of Ukraine. (2021). Bilovodske prospective area with titanium-zirconium ores (Investment Atlas of Subsoil User) [PDF].
State Geological and Subsoil Service of Ukraine. (2021). Investment opportunities in exploration and production of strategic and critical minerals [Presentation].
Ganzha, O. A. (2025). Zirconium-titanium deposits of Ukraine placer province: Genesis, geological characteristics and mineralogy. Geology and Geography.</t>
  </si>
  <si>
    <t>Titanium and zirconium placer prospective accumulation in Sumy Oblast, about 1 km south of Yablunivka village, about 4 km north of Khrapivshchyna and Korchakiv areas; the H-07 highway crosses the area. Plot area 62 ha. Stratigraphy from Maastrichtian chalk upward into glauconite-quartz sands of Buchach, Kyiv and Mezhyhirya units (total up to 30 to 32 m), overlain by Berets unit with lower Zmiiv subsuite (glauconitic sands with green clays, 7 to 8 m) and upper Syvash subsuite hosting mineralisation; Verkhneberets sands are light quartz fine-grained, 5.4 to 6.8 m thick (average 6.1 m). Neogene mottled clays and Quaternary loams total 8 to 11 m. Three wells drilled during 1:50,000 works, spaced 320 to 600 m. Average mineralised sand thickness 3.7 m; average overburden 9.6 m; weighted average zircon 6 kg/m³, rutile 8.4 kg/m³, conditional ilmenite 50 kg/m³; stripping ratio 2.6. Discovered during photogeological survey 1969 to 1972; further assessed in 1992; part of the Korchakiv ore field; recommended for greenfield exploration. Resource category P2, detailed figures restricted.</t>
  </si>
  <si>
    <t>Geological Evidence: 1
Justification: Bilovodska is a clearly identified placer Ti–Zr mineral sands occurrence with described stratigraphy, drilled intersections, mineralised horizons and quantified heavy mineral contents. The presence of titanium and zirconium mineralisation is demonstrable and not speculative.
Data Quality: 1
Justification: Quantitative data are reported for mineralised sand thickness, overburden, stripping ratio and heavy mineral concentrations in kg per cubic metre. These figures are numerically stated and sourced, allowing translation into a CRIRSCO style framework even at a preliminary exploration level.
Classification Alignment: 1
Justification: The site is explicitly classified under the GKZ style prognostic resource category P2. This constitutes a formal classification anchor that can be conservatively crosswalked to PERC or CRIRSCO resource categories.</t>
  </si>
  <si>
    <t>Korchakivska</t>
  </si>
  <si>
    <t>51°02'10.00"N</t>
  </si>
  <si>
    <t>33°58'20.00"E</t>
  </si>
  <si>
    <t>State Geological and Subsoil Service of Ukraine. (2021). Korchakivskyi prospective area with titanium-zirconium ore occurrence (Investment Atlas of Subsoil User) [PDF].
State Geological and Subsoil Service of Ukraine. (2021). Investment opportunities in exploration and production of strategic and critical minerals [Presentation].
Ganzha, O. A. (2025). Zirconium-titanium deposits of Ukraine placer province: Genesis, geological characteristics and mineralogy. Geology and Geography.</t>
  </si>
  <si>
    <t>Titanium and zirconium placer prospective area in Sumy Raion, Sumy Oblast, near Mala Korchakivka, Korchakivka and Nova Sich; adjacent to Khrapivshchyna to the south and Bilovodska about 4 km to the north; bordered by N-07 highway. Plot area 750 ha. Area about 10 km long, average width 700 to 800 m, elongated to the north-east; surface elevations about +208 to +225 m. Maastrichtian chalk at 57 to 68 m depth; glauconite-quartz sands (Kaniv and Kyiv Eocene plus Mezhyhirya Lower Oligocene) total 34 to 37 m; Berets unit includes upper Syvash subunit with mineralisation, thickness 3 to 18 m (average about 9 m), overlain by 3.6 to 16 m of Neogene clays and Quaternary sediments. Zircon-bearing sands (zircon &gt;4 kg/m³) identified in 6 wells and 2 outcrops, with spacing 0.5 to 2.2 km. Ore is confined to upper Verkhnyoberets part; average ore thickness 4 m; overburden 10.8 m; stripping ratio 2.7; weighted average zircon 6.5 kg/m³, rutile 7.6 kg/m³, conditional ilmenite 51.4 kg/m³. Discovered in 1969 to 1972 survey; re-evaluated in 1992; part of Korchakiv ore field; recommended for greenfield exploration. Resource category P2, detailed figures restricted.</t>
  </si>
  <si>
    <t>Geological Evidence: 1
Justification: Korchakivska is a clearly identified placer Ti–Zr mineral sands occurrence with documented stratigraphy, drilled intersections, defined mineralised horizons and quantified heavy mineral contents. The presence of titanium and zirconium mineralisation is demonstrable and not speculative.
Data Quality: 1
Justification: Quantitative data are reported for ore thickness, overburden, stripping ratio and heavy mineral concentrations in kg per cubic metre. These figures are numerically stated and sourced, allowing translation into a CRIRSCO style framework at a preliminary exploration level.
Classification Alignment: 1
Justification: The site is explicitly classified under the GKZ style prognostic resource category P2. This provides a formal classification anchor that can be conservatively crosswalked to PERC or CRIRSCO resource categories.
Total Score: 3</t>
  </si>
  <si>
    <t>Khrapivshchyna</t>
  </si>
  <si>
    <t>50°59'40.00"N</t>
  </si>
  <si>
    <t>33°58'55.00"E</t>
  </si>
  <si>
    <t>State Geological and Subsoil Service of Ukraine. (2021). Khrapivshchyna prospective area with titanium-zirconium ore promising accumulation (Investment Atlas of Subsoil User) [PDF].
State Geological and Subsoil Service of Ukraine. (2021). Investment opportunities in exploration and production of strategic and critical minerals [Presentation].
Ganzha, O. A. (2025). Zirconium-titanium deposits of Ukraine placer province: Genesis, geological characteristics and mineralogy. Geology and Geography.</t>
  </si>
  <si>
    <t>Titanium and zirconium placer promising accumulation in Sumy Raion, Sumy Oblast, on the north-north-eastern outskirts of Khrapivshchyna village; Bilovodska is about 4 km to the north; H-07 highway crosses the area. Plot area 170 ha. Upper Cretaceous at 58 to 66 m depth; covered by Eocene glauconite-quartz sands and Mezhyhirya Lower Oligocene sands (31 to 37 m total), then Berets Upper Oligocene unit, overlain by Neogene clays or directly Quaternary loams. Berets lower Zmiiv subsuite thickness 6.5 to 13.6 m (average 9.8 m); ore-bearing stratum is in the upper subsuite of light grey to white sands with thin dark heavy-mineral layers; grain size very fine sand to siltstone. Fourteen wells drilled (1:50,000), spacing 350 to 800 m; ore-bearing horizon is in the upper Syvash subsuite and is not flooded. Zircon in 9 wells is 4.01 to 15 kg/m³ (one well 2.67 kg/m³). Average mineralised thickness 5.6 m; overburden 13.0 m; weighted average zircon 7.8 kg/m³, rutile 9.9 kg/m³, conditional ilmenite 63 kg/m³; stripping ratio 2.3. In a 4.3 m interval, zircon increases to 8.6 kg/m³ and rutile to 10.7 kg/m³. Light grey and white sands meet requirements for moulding sand, grade 2. Discovered in 1969 to 1972 survey; re-evaluated in 1992; part of Korchakiv ore field; recommended for greenfield exploration. Resource category P2, detailed figures restricted.</t>
  </si>
  <si>
    <t>Geological Evidence: 1
Justification: Khrapivshchyna is a clearly identified placer Ti–Zr mineral sands occurrence with documented stratigraphy, drilled intersections, defined ore bearing horizons and measured heavy mineral concentrations. The presence of titanium and zirconium mineralisation is demonstrable and not speculative.
Data Quality: 1
Justification: Quantitative data are reported for mineralised thickness, overburden, stripping ratio and heavy mineral concentrations in kg per cubic metre, based on multiple drillholes. These figures are numerically stated and sourced, allowing translation into a CRIRSCO style framework at an early exploration stage.
Classification Alignment: 1
Justification: The site is explicitly classified under the GKZ style prognostic resource category P2. This constitutes a formal classification anchor that can be conservatively crosswalked to PERC or CRIRSCO resource categories.
Total Score: 3</t>
  </si>
  <si>
    <t>Gaidarivska</t>
  </si>
  <si>
    <t>49°37'25.00"N</t>
  </si>
  <si>
    <t>36°19'40.00"E</t>
  </si>
  <si>
    <t>State Geological and Subsoil Service of Ukraine. (2021). Prospective area with occurrence of ilmenite-zirconium ore Haydarivskyi (Investment Atlas of Subsoil User) [PDF].
State Geological and Subsoil Service of Ukraine. (2021). Investment opportunities in exploration and production of strategic and critical minerals [Presentation].
Ganzha, O. A. (2025). Zirconium-titanium deposits of Ukraine placer province: Genesis, geological characteristics and mineralogy. Geology and Geography.</t>
  </si>
  <si>
    <t>Ilmenite-zirconium placer prospective area in Zmiiv Raion, Kharkiv Oblast, on the south-western outskirts of the village of Gaidary. Plot area 971.4 ha. Placers occur as lenses in sands of the Novopetrivska and Berets units and belong to alluvial and deep-sea marine facies. Mineralogical composition from testing: ilmenite 3.00 to 84.32 kg/m³ (average 42.4 kg/m³), leucoxene 1.06 to 44.78 kg/m³, rutile 0.2 to 7.20 kg/m³ (average 6.8 kg/m³), zircon 0.76 to 13.06 kg/m³ (average 8.3 kg/m³). Conditional ilmenite cut-off used: 42.4 kg/m³. Average ore thickness 11.0 m; overburden 27.5 m; stripping ratio 2.5; overburden decreases to the north-west. Discovered in 1984 to 1986 during 1:50,000 survey; also intersected in earlier 1963 work. Total drilling 521.5 m; 30 samples tested from 135 m. Resource category P2, detailed figures restricted.</t>
  </si>
  <si>
    <t>Geological Evidence: 1
Justification: Gaidarivska is a clearly identified placer Ti–Zr mineral sands occurrence with documented stratigraphy, drilled intersections, defined placer lenses and measured heavy mineral assemblages. Titanium and zirconium mineralisation is demonstrable and not speculative.
Data Quality: 1
Justification: Quantitative data are reported for heavy mineral concentrations (kg/m³), ore thickness, overburden thickness, stripping ratio and applied cut-off values, based on drilling and sample testing. These figures are numerically stated, traceable and translatable into a CRIRSCO style framework at a preliminary exploration level.
Classification Alignment: 1
Justification: The site is explicitly classified under the GKZ style prognostic resource category P2. This provides a formal classification anchor that can be conservatively crosswalked to PERC or CRIRSCO resource categories.
Total Score: 3</t>
  </si>
  <si>
    <t>The Zlobytske deposit is a placer-type titanium mineral sands occurrence located in Zhytomyr Oblast, north-western Ukraine, within the Ukrainian placer zirconium–titanium province developed along Neogene palaeovalleys of the Volyn–Polissya region. It forms part of the Irshansk titanium cluster, genetically linked to erosion and redeposition of ilmenite-bearing anorthosite–gabbro complexes of the Ukrainian Shield.
Mineralisation is hosted by Neogene sands, primarily of the Novopetrivska Suite, locally overlain by Quaternary sediments. Ore bodies occur as lens-shaped to blanket-like placer accumulations of fine- to medium-grained quartz sands enriched in heavy minerals. The dominant titanium-bearing mineral is ilmenite, with subordinate rutile and leucoxene; zircon is a consistent associated mineral. Heavy mineral assemblages reflect short transport distances and a proximal crystalline source.
Zlobytske is classified as a small to medium placer occurrence with grades typical of the Volyn placer province. While detailed reserve figures are not publicly disclosed, the deposit is included in national inventories of strategic and critical mineral resources as a prospective titanium asset. Its geological characteristics, mineralogy, and genetic setting are consistent with other economically exploited placers in the region, supporting its classification as a recoverable titanium resource pending further exploration and technological evaluation.</t>
  </si>
  <si>
    <t>Geological Evidence: 1
Justification: Zlobytske is a clearly identified placer titanium mineral sands occurrence with described stratigraphy, placer geometry, mineral assemblage and genetic linkage to known ilmenite bearing source rocks. The presence of titanium mineralisation is demonstrable and not speculative.
Data Quality: 0
Justification: No deposit specific numerical data on grades, tonnage, ore thickness or contained titanium are publicly reported. The description relies on qualitative comparison with regional placers and inventory listings, which cannot be translated into a CRIRSCO style framework.
Classification Alignment: 0
Justification: Although included in national inventories as a prospective titanium asset, no explicit GKZ, UNFC or state approved reserve or resource category is cited for Zlobytske. Under the conservative rule, this lacks a formal classification anchor.
Total Score: 1</t>
  </si>
  <si>
    <t>Hard rock titanium magnetite and ilmenite apatite</t>
  </si>
  <si>
    <t>The Torchynske deposit is a primary hard-rock apatite–ilmenite titanium deposit located in Zhytomyr Oblast, north-western Ukraine, within the Korosten Pluton of the Ukrainian Shield. The deposit is spatially associated with gabbro–anorthosite complexes and represents a classic magmatic Fe–Ti–P system formed during differentiation of mafic melts within the plutonic structure.
Mineralisation is hosted mainly by troctolites, gabbro-troctolites, olivine gabbros, and anorthosites, with ore bodies occurring as lens-like and sheet-like accumulations controlled by magmatic layering and structural features of the intrusion. Apatite–ilmenite ores are concentrated in specific stratigraphic levels of the intrusive sequence and locally show gradual transitions into barren gabbroic rocks.
The principal ore minerals are ilmenite and apatite, with accessory titanomagnetite, magnetite, and ulvospinel, and minor sulphides. Ilmenite occurs as disseminated grains and intergrowths with Fe-Ti oxides, while apatite forms both disseminated crystals and aggregates. The deposit is genetically classified as a magmatic cumulate deposit, formed by crystal settling and late-stage redistribution of Fe–Ti–P components.
Average ore grades reported for Torchynske are comparable to other apatite–ilmenite deposits of the Korosten Pluton, with TiO₂ typically in the range of ~5–8 wt% and P₂O₅ commonly ~2–4 wt%. The deposit is considered complex, with titanium and phosphorus as main commodities and potential by-product recovery of vanadium and scandium associated with Fe-Ti oxides.
Torchynske is included in national assessments of strategic titanium resources and is regarded as a promising undeveloped hard-rock titanium deposit. Its geological structure, mineralogy, and genetic model indicate favourable conditions for open-pit mining and conventional beneficiation by magnetic and gravity methods, although detailed reserve figures remain restricted.</t>
  </si>
  <si>
    <t>Geological Evidence: 1
Justification: Torchynske is a well described primary hard rock apatite–ilmenite deposit with defined intrusive host rocks, magmatic layering, ore mineral assemblages and reported grade ranges. Titanium mineralisation is demonstrable and supported by detailed geological and genetic studies.
Data Quality: 0
Justification: Although indicative grade ranges for TiO₂ and P₂O₅ are reported, no deposit specific tonnage figures, resource estimates, or classified quantitative reserve data are provided. Without translatable tonnage–grade data, the information cannot be reliably mapped into a CRIRSCO style framework.
Classification Alignment: 0
Justification: The deposit is described as promising and included in strategic assessments, but no GKZ, UNFC, or state approved reserve or resource category is explicitly cited. Under the conservative rule, the absence of a formal classification anchor requires a No score.
Total Score: 1</t>
  </si>
  <si>
    <t>Ushytske</t>
  </si>
  <si>
    <t>50°36'40.00"N</t>
  </si>
  <si>
    <t>28°41'30.00"E</t>
  </si>
  <si>
    <t>Mykhailov, V. A., Malyuk, B., Kovalenko, N., Bertrand, G., de Oliveira, D., Wittenberg, A., Wellmer, F.-W., Horwath, Z., Hollis, J., Wall, P., &amp; Quijano Gaudes, L. (2023). Strategic minerals of Ukraine and their investment attractiveness.Velta LLC. (2026). Production. https://velta.us/production/</t>
  </si>
  <si>
    <t>Placer titanium occurrence within the Irshansk titanium cluster of Zhytomyr Oblast. Mineralisation hosted by Neogene quartz sands of the Novopetrivska Suite. Titanium occurs mainly as ilmenite with minor rutile and zircon. Included in state inventories as a prospective placer occurrence; detailed geological and resource data are NOT PUBLIC.</t>
  </si>
  <si>
    <t>Geological Evidence: 1
Justification: Ushytske is identified as a placer titanium occurrence within the Irshansk titanium cluster, with titanium mineralisation hosted by Neogene quartz sands and occurring mainly as ilmenite. Its inclusion in state inventories confirms demonstrable mineralisation rather than speculation.
Data Quality: 0
Justification: No deposit specific numerical data on grades, tonnages, thicknesses or contained titanium are publicly available. The description is explicitly qualitative and non disclosed, so the data cannot be translated into a CRIRSCO style framework.
Classification Alignment: 0
Justification: Although listed in state inventories as a prospective occurrence, no GKZ, UNFC or state approved reserve or resource category is cited for Ushytske. Under the conservative rule, this lacks a formal classification anchor.
Total Score: 1</t>
  </si>
  <si>
    <t>Ushomyrske</t>
  </si>
  <si>
    <t>50°39'20.00"N</t>
  </si>
  <si>
    <t>28°44'10.00"E</t>
  </si>
  <si>
    <r>
      <t xml:space="preserve">Placer titanium occurrence associated with the Irshansk placer province. Hosted by Neogene sands, genetically linked to erosion of ilmenite-bearing anorthosite–gabbro complexes of the Ukrainian Shield. Classified as a small to medium placer occurrence; reserve data </t>
    </r>
    <r>
      <rPr>
        <b/>
        <sz val="12"/>
        <color theme="1"/>
        <rFont val="Aptos Narrow"/>
        <family val="2"/>
        <scheme val="minor"/>
      </rPr>
      <t>NOT PUBLIC</t>
    </r>
    <r>
      <rPr>
        <sz val="12"/>
        <color theme="1"/>
        <rFont val="Aptos Narrow"/>
        <family val="2"/>
        <scheme val="minor"/>
      </rPr>
      <t>.</t>
    </r>
  </si>
  <si>
    <t>Geological Evidence: 1
Justification: Ushomyrske is identified as a placer titanium occurrence within the Irshansk placer province, with a clear genetic link to erosion of ilmenite bearing anorthosite–gabbro source rocks. Its recognition in national strategic mineral literature confirms real titanium mineralisation rather than speculative presence.
Data Quality: 0
Justification: No deposit specific numerical data on grades, tonnages, ore thickness or contained titanium are publicly available. The description is explicitly qualitative and confidentiality of reserve data is noted, preventing translation into a CRIRSCO style framework.
Classification Alignment: 0
Justification: Although listed as a placer occurrence in national assessments, no GKZ, UNFC or state approved reserve or resource category is cited for Ushomyrske. Under the conservative rule, this lacks a formal classification anchor.
Total Score: 1</t>
  </si>
  <si>
    <t>Voskresenivske</t>
  </si>
  <si>
    <t>50°42'55.00"N</t>
  </si>
  <si>
    <t>28°52'40.00"E</t>
  </si>
  <si>
    <r>
      <t xml:space="preserve">Placer titanium occurrence in northern Zhytomyr Oblast. Mineralisation occurs in Neogene–Quaternary sands with ilmenite as the dominant Ti-bearing mineral. Listed as a prospective occurrence; detailed stratigraphy, grades, and resources are </t>
    </r>
    <r>
      <rPr>
        <b/>
        <sz val="12"/>
        <color theme="1"/>
        <rFont val="Aptos Narrow"/>
        <family val="2"/>
        <scheme val="minor"/>
      </rPr>
      <t>NOT PUBLIC</t>
    </r>
    <r>
      <rPr>
        <sz val="12"/>
        <color theme="1"/>
        <rFont val="Aptos Narrow"/>
        <family val="2"/>
        <scheme val="minor"/>
      </rPr>
      <t>.</t>
    </r>
  </si>
  <si>
    <t>Geological Evidence: 1
Justification: Voskresenivske is documented in national strategic mineral literature as a placer titanium occurrence hosted in Neogene–Quaternary sands, with ilmenite identified as the dominant Ti-bearing mineral. This confirms the geological presence of titanium mineralisation rather than a purely speculative target.
Data Quality: 0
Justification: No publicly available quantitative data exist on grades, tonnages, ore thickness, mineral assemblage proportions, or beneficiation characteristics. The occurrence is explicitly described as prospective with non-disclosed data, which precludes quantitative assessment.
Classification Alignment: 0
Justification: There is no cited GKZ, UNFC, or other state-approved resource or reserve classification for Voskresenivske. It is listed only as an occurrence in national inventories, without a formal classification anchor.
Total Score: 1</t>
  </si>
  <si>
    <t>Krasnokutske</t>
  </si>
  <si>
    <t>50°34'15.00"N</t>
  </si>
  <si>
    <t>28°49'50.00"E</t>
  </si>
  <si>
    <r>
      <t xml:space="preserve">Placer titanium occurrence hosted by Neogene sands of the Volyn–Polissya placer province. Titanium mineralisation dominated by ilmenite with accessory zircon. Included in state prospect lists; quantitative geological data </t>
    </r>
    <r>
      <rPr>
        <b/>
        <sz val="12"/>
        <color theme="1"/>
        <rFont val="Aptos Narrow"/>
        <family val="2"/>
        <scheme val="minor"/>
      </rPr>
      <t>NOT PUBLIC</t>
    </r>
    <r>
      <rPr>
        <sz val="12"/>
        <color theme="1"/>
        <rFont val="Aptos Narrow"/>
        <family val="2"/>
        <scheme val="minor"/>
      </rPr>
      <t>.</t>
    </r>
  </si>
  <si>
    <t>Geological Evidence: 1
Justification: Krasnokutske is listed in national strategic mineral literature as a placer titanium occurrence within the Volyn–Polissya placer province, with ilmenite identified as the dominant Ti-bearing mineral and accessory zircon present. This establishes a confirmed geological basis for titanium mineralisation rather than a speculative anomaly.
Data Quality: 0
Justification: No publicly available quantitative data are reported for grades, tonnages, ore thickness, heavy mineral content, or processing characteristics. The occurrence is explicitly noted as having non-disclosed geological parameters.
Classification Alignment: 0
Justification: There is no referenced GKZ, UNFC, or other state-approved reserve or resource category associated with Krasnokutske. It is classified only as an occurrence in prospect listings, without formal classification status.
Total Score: 1</t>
  </si>
  <si>
    <t>Pidlisne</t>
  </si>
  <si>
    <t>50°31'40.00"N</t>
  </si>
  <si>
    <t>28°54'25.00"E</t>
  </si>
  <si>
    <t>Placer titanium occurrence located in Zhytomyr Oblast. Mineralisation associated with Neogene quartz sands; ilmenite is the principal titanium mineral. No public data on reserves or grades.</t>
  </si>
  <si>
    <t>Geological Evidence: 1
Justification: Pidlisne is documented in national strategic mineral literature as a placer titanium occurrence within Zhytomyr Oblast, with ilmenite identified as the principal Ti-bearing mineral hosted in Neogene quartz sands. This confirms the presence of titanium mineralisation at occurrence level.
Data Quality: 0
Justification: No publicly available quantitative data are reported for grades, tonnages, heavy mineral concentrations, ore thickness, or beneficiation characteristics. The occurrence is explicitly described as lacking disclosed geological metrics.
Classification Alignment: 0
Justification: There is no GKZ, UNFC, or other formally approved reserve or resource classification associated with Pidlisne. It remains listed only as an occurrence in prospect inventories.
Total Score: 1</t>
  </si>
  <si>
    <t>Verkhnyo-Irshynske</t>
  </si>
  <si>
    <t>50°44'10.00"N</t>
  </si>
  <si>
    <t>28°38'20.00"E</t>
  </si>
  <si>
    <t>Placer titanium occurrence in the upper Irsha River area, part of the Irshansk titanium district. Hosted by Neogene alluvial sands with ilmenite-dominated heavy mineral assemblage. Detailed exploration results NOT PUBLIC.</t>
  </si>
  <si>
    <t>Geological Evidence: 1
Justification: Verkhnyo-Irshynske is identified in national strategic mineral literature as a placer titanium occurrence within the Irshansk titanium district of Zhytomyr Oblast, with ilmenite-dominated heavy mineral assemblages hosted in Neogene alluvial sands, confirming the presence of titanium mineralisation at occurrence level.
Data Quality: 0
Justification: No publicly available quantitative data are reported for grades, tonnages, heavy mineral concentrations, ore thickness, beneficiation characteristics, or drilling results; the occurrence is explicitly described as lacking disclosed exploration metrics.
Classification Alignment: 0
Justification: There is no GKZ, UNFC, JORC, or other formally approved reserve or resource classification associated with Verkhnyo-Irshynske; it remains listed only as an occurrence in prospect inventories.
Total Score: 1</t>
  </si>
  <si>
    <t>Davydkivske</t>
  </si>
  <si>
    <t>49°57'10.00"N</t>
  </si>
  <si>
    <t>36°08'40.00"E</t>
  </si>
  <si>
    <r>
      <t xml:space="preserve">Placer titanium occurrence identified in eastern Ukraine. Titanium mineralisation hosted by Neogene sands; ilmenite is the main Ti-bearing mineral. Included in national inventories; geological and resource parameters </t>
    </r>
    <r>
      <rPr>
        <b/>
        <sz val="12"/>
        <color theme="1"/>
        <rFont val="Aptos Narrow"/>
        <family val="2"/>
        <scheme val="minor"/>
      </rPr>
      <t>NOT PUBLIC</t>
    </r>
    <r>
      <rPr>
        <sz val="12"/>
        <color theme="1"/>
        <rFont val="Aptos Narrow"/>
        <family val="2"/>
        <scheme val="minor"/>
      </rPr>
      <t>.</t>
    </r>
  </si>
  <si>
    <t>Geological Evidence: 1
Justification: Davydkivske is listed in national strategic mineral literature as a placer titanium occurrence in Kharkiv Oblast, with titanium mineralisation hosted in Neogene sands and ilmenite identified as the dominant Ti-bearing mineral, confirming titanium presence at occurrence level.
Data Quality: 0
Justification: No publicly available quantitative information is reported on grades, tonnages, heavy mineral concentrations, ore thickness, drilling density, or beneficiation characteristics; geological parameters are explicitly not disclosed.
Classification Alignment: 0
Justification: There is no GKZ, UNFC, JORC, or other formally approved reserve or resource classification for Davydkivske; it remains classified solely as an occurrence in national prospect inventories.
Total Score: 1</t>
  </si>
  <si>
    <t>Vidoborzka</t>
  </si>
  <si>
    <t>50°28'50.00"N</t>
  </si>
  <si>
    <t>28°36'15.00"E</t>
  </si>
  <si>
    <t>Placer titanium occurrence in Zhytomyr Oblast, hosted by Neogene sands. Part of the broader Volyn–Polissya placer province. No publicly available data on grades or resources.</t>
  </si>
  <si>
    <t>Geological Evidence: 1
Justification: Vidoborzka is recorded in national strategic mineral inventories as a placer titanium occurrence within the Volyn Polissya placer province, with titanium mineralisation hosted in Neogene sands and ilmenite identified as the principal Ti bearing mineral, confirming geological presence at occurrence level.
Data Quality: 0
Justification: No publicly available quantitative data are reported for grades, tonnages, heavy mineral concentrations, ore thickness, drilling coverage, or beneficiation characteristics, and the occurrence is explicitly described as lacking disclosed geological parameters.
Classification Alignment: 0
Justification: Vidoborzka has no approved GKZ, UNFC, JORC, or equivalent reserve or resource classification and remains classified only as an occurrence in national prospect and investment listings.
Total Score: 1</t>
  </si>
  <si>
    <t>Pidlisna</t>
  </si>
  <si>
    <t>50°29'35.00"N</t>
  </si>
  <si>
    <t>28°51'05.00"E</t>
  </si>
  <si>
    <r>
      <t xml:space="preserve">Small placer titanium occurrence in Zhytomyr Oblast. Mineralisation associated with Neogene quartz sands; ilmenite is dominant. Included in state prospect lists; technical data </t>
    </r>
    <r>
      <rPr>
        <b/>
        <sz val="12"/>
        <color theme="1"/>
        <rFont val="Aptos Narrow"/>
        <family val="2"/>
        <scheme val="minor"/>
      </rPr>
      <t>NOT PUBLIC</t>
    </r>
    <r>
      <rPr>
        <sz val="12"/>
        <color theme="1"/>
        <rFont val="Aptos Narrow"/>
        <family val="2"/>
        <scheme val="minor"/>
      </rPr>
      <t>.</t>
    </r>
  </si>
  <si>
    <t>Geological Evidence: 1
Justification: Pidlisna is documented in national strategic mineral inventories as a placer titanium occurrence within Zhytomyr Oblast, with titanium mineralisation hosted in Neogene quartz sands and ilmenite identified as the dominant Ti bearing mineral, confirming geological presence at occurrence scale.
Data Quality: 0
Justification: No publicly available quantitative information is reported for grades, tonnages, heavy mineral concentrations, drilling density, ore thickness, or beneficiation behaviour, and the occurrence is explicitly described as lacking disclosed technical data.
Classification Alignment: 0
Justification: Pidlisna has no approved GKZ, UNFC, JORC, or equivalent reserve or resource classification and remains listed only as an occurrence in state prospect and investment listings.
Total Score: 1</t>
  </si>
  <si>
    <t>Gallium</t>
  </si>
  <si>
    <t>In Ukraine, gallium is associated with high-aluminium raw materials (bauxites) and occurs in coal ash and metallurgical residues. Historical production was based entirely on by-product recovery. No independent gallium ore bodies are recorded in the State Inventory of Mineral Reserves.</t>
  </si>
  <si>
    <t>Helium</t>
  </si>
  <si>
    <t>No standalone helium deposits are identified in Ukraine. Helium occurs only as an associated component of natural gas, primarily within deep gas fields of the Dnipro–Donets Depression. No independent helium reserves are recorded in the State Inventory of Mineral Reserves of Ukraine.</t>
  </si>
  <si>
    <t>Silicon metal</t>
  </si>
  <si>
    <t>No standalone silicon metal deposits are identified in Ukraine. Silicon metal is an industrial product manufactured from high-purity silica raw materials. Ukraine hosts numerous deposits of quartz, quartzite, and quartz sands that may serve as feedstock, but no silicon metal reserves are recorded in the State Inventory of Mineral Reserves of Ukraine.</t>
  </si>
  <si>
    <t>Tungsten</t>
  </si>
  <si>
    <t>No economic or standalone tungsten deposits are identified in Ukraine. Tungsten occurs only as minor mineralisation in a number of occurrences associated with intrusive complexes of the Ukrainian Shield (e.g. Perzhanskiy, Korostenskiy, Korsun–Novomyrgorodskiy, Kamyanomogylskiy). No tungsten reserves are recorded in the State Inventory of Mineral Reserves of Ukraine.</t>
  </si>
  <si>
    <t>Cobalt</t>
  </si>
  <si>
    <t>No standalone cobalt deposits are identified in Ukraine. Cobalt occurs only as an associated element in nickel and copper–nickel mineralisation, particularly within the Pobuzkiy nickel ore field of the Ukrainian Shield. No cobalt reserves are recorded in the State Inventory of Mineral Reserves of Ukraine.</t>
  </si>
  <si>
    <t>Magnesium</t>
  </si>
  <si>
    <t>Kalush–Golynske</t>
  </si>
  <si>
    <t>Potassium–magnesium salt</t>
  </si>
  <si>
    <t>49°01'30.00"N</t>
  </si>
  <si>
    <t>24°22'00.00"E</t>
  </si>
  <si>
    <t>Ukraine’s magnesium sector is geologically diverse but structurally weak beyond extraction, with a clear split between evaporite based brines and hard rock magnesite systems, and a strong historical legacy that has not yet translated into a modern, competitive value chain. Resource base: the strongest and best evidenced magnesium resources are the Fore-Carpathian potassium–magnesium evaporites at Kalush–Golynske and Stebnytske, where thick Miocene salt sequences (kainite, langbeinite, sylvinite) supported decades of industrial potash and Mg salt production; deep bischofite brines in the Dnipro–Donets Depression (Zaturynske, Novopodilske) are potentially very large but remain poorly defined in public data and largely undeveloped; hard-rock talc–magnesite bodies in the Ukrainian Shield exist (Pravdynske, Veselyanske, Sukhokhutirska) but are mostly occurrence-level with limited public delineation and no modern resource statements. Processing and post-mining: historically, magnesium was produced mainly as salts (MgCl₂ brines, carnallite, kainite) for fertilisers, chemicals and refractories rather than as primary Mg metal; modern Mg metal production requires either electrolytic processing of MgCl₂ brines or thermal reduction routes, both of which are energy intensive and capital heavy, and Ukraine currently lacks an operating, internationally competitive Mg metal smelter integrated with domestic feedstock. Infrastructure and economics: legacy mining infrastructure exists in the Carpathian potash belt and in brine fields, but many sites suffer from underinvestment, environmental legacies (subsidence, brine leakage, tailings), and weak balance sheets; economics are dominated by electricity and gas costs, access to chemicals, water management, and environmental remediation, which makes simple salt or brine sales more viable than downstream metal production under current conditions. Market position: Ukraine is not a global magnesium metal supplier today and competes indirectly via potential raw material supply rather than finished metal, while global Mg metal markets are highly price sensitive and dominated by China, making standalone Ukrainian Mg metal projects difficult without policy support or long-term offtake. Geopolitics and strategy: magnesium is increasingly framed as a strategic material for alloys, defence and energy transition applications, which creates a policy rationale for EU-aligned development of Ukrainian resources; however, realistic near-term leverage lies in brine based chemical magnesium products and controlled redevelopment of the Fore-Carpathian salt fields rather than rapid scale up of Mg metal. Bottom line: Ukraine has a credible geological magnesium endowment and historical industrial base, but the post-mining bottlenecks are energy intensity, environmental liabilities, lack of modern compliant resource documentation, and absence of integrated downstream capacity; without targeted state support, modern resource classification, and EU-backed financing, Ukraine’s magnesium sector will remain a strategic option rather than an active pillar of the critical raw materials supply chain.</t>
  </si>
  <si>
    <t>Large potassium–magnesium salt deposit in the Fore-Carpathian Trough. Composed of multiple salt-bearing bodies with significant MgO and K₂O content. One of Ukraine’s main sources of magnesium raw materials.</t>
  </si>
  <si>
    <t>Geological Evidence 1: Thick, laterally continuous potassium–magnesium evaporite sequences in the Fore-Carpathian Trough are well established through decades of mining and geological work. Data Quality 0: Modern, publicly accessible reserve figures, grade tables, and compliant technical reports are not available in open sources. Classification Alignment 0: Although historically exploited, the deposit is not transparently documented in current SIMR-style public inventories or aligned classifications.</t>
  </si>
  <si>
    <t>Stebnytske</t>
  </si>
  <si>
    <t>Lviv</t>
  </si>
  <si>
    <t>49°18'40.00"N</t>
  </si>
  <si>
    <t>23°33'20.00"E</t>
  </si>
  <si>
    <t>Potassium–magnesium salt deposit hosted in Lower Miocene evaporites of the Fore-Carpathian Trough. Contains several mineralised horizons rich in kainite and langbeinite and represents a key industrial magnesium resource.</t>
  </si>
  <si>
    <t>Geological Evidence 1: Lower Miocene evaporites hosting kainite and langbeinite are well documented, with a long history of industrial extraction confirming deposit-scale continuity. Data Quality 0: Open-access quantitative reserve data and up-to-date technical documentation are not publicly disclosed. Classification Alignment 0: Despite industrial relevance, current public alignment with formal national inventory classifications is not demonstrated.</t>
  </si>
  <si>
    <t>Zaturynske</t>
  </si>
  <si>
    <t xml:space="preserve">Deep magnesium salt </t>
  </si>
  <si>
    <t>Poltava</t>
  </si>
  <si>
    <t>49°37'30.00"N</t>
  </si>
  <si>
    <t>34°18'00.00"E</t>
  </si>
  <si>
    <t>Deep-seated bischofite deposit in the Dnipro–Donets Depression. Magnesium occurs mainly as MgCl₂·6H₂O and is extracted by solution mining. Represents a large, well-defined magnesium salt resource.</t>
  </si>
  <si>
    <t>Geological Evidence 0: Described only at a regional level as a deep-seated bischofite accumulation in the Dnipro–Donets Depression, without publicly available deposit-scale geological definition. Data Quality 0: No published reserve figures, resource classification, or technical evaluation are accessible. Classification Alignment 0: No evidence of a standalone SIMR entry or formal inventory passport in open sources.</t>
  </si>
  <si>
    <t>Novopodilske</t>
  </si>
  <si>
    <t>49°40'10.00"N</t>
  </si>
  <si>
    <t>34°25'30.00"E</t>
  </si>
  <si>
    <t>Major deep potassium–magnesium and bischofite deposit in the Dnipro–Donets Depression. Characterised by thick salt horizons at depth with very high bischofite content and extremely large reserves.</t>
  </si>
  <si>
    <t>Geological Evidence 0: Identified only by name and qualitative description in secondary strategic literature, without geological delineation or supporting studies. Data Quality 0: No reserve data, grades, or technical documentation are available. Classification Alignment 0: No public record of inclusion in the State Inventory of Mineral Resources or other formal classification systems.</t>
  </si>
  <si>
    <t>Pravdynske</t>
  </si>
  <si>
    <t>Hard-rock magnesium</t>
  </si>
  <si>
    <t>50°17'40.00"N</t>
  </si>
  <si>
    <t>28°34'10.00"E</t>
  </si>
  <si>
    <t>Hard-rock talc–magnesite deposit developed in altered ultramafic rocks of the Ukrainian Shield. Contains high-MgO ores suitable for industrial magnesium, refractory, and chemical applications.</t>
  </si>
  <si>
    <t>Geological Evidence 0: The deposit is described only in secondary strategic literature as a talc–magnesite occurrence within altered ultramafic rocks, without publicly available geological mapping, deposit geometry, or delineation demonstrating deposit-scale continuity. Data Quality 0: No open-access information exists on reserves, grades, MgO distribution, beneficiation tests, or technical or economic studies. Classification Alignment 0: There is no evidence of a standalone entry in the State Inventory of Mineral Resources, no licence documentation, and no formal resource or reserve classification available in public sources.</t>
  </si>
  <si>
    <t>Veselyanske</t>
  </si>
  <si>
    <t>50°11'25.00"N</t>
  </si>
  <si>
    <t>28°46'50.00"E</t>
  </si>
  <si>
    <t>Talc–magnesite deposit hosted in Precambrian metamorphic rocks. Composed of multiple steeply dipping bodies with significant magnesite and talc content, representing a solid hard-rock magnesium resource.</t>
  </si>
  <si>
    <t>Geological Evidence 0: The site is described only as a talc–magnesite deposit in secondary compilations, without publicly available evidence of delineated ore bodies, deposit geometry, continuity, or demonstrated mineralisation beyond descriptive occurrence-level statements. Data Quality 0: No numerical data on tonnage, grade, MgO content, or beneficiation characteristics are reported in open sources, and no technical or economic studies are available. Classification Alignment 0: There is no indication of GKZ, UNFC, or State Inventory reserve classification, no licence documentation, and no formal resource or reserve anchor that could be crosswalked to a PERC-style framework.</t>
  </si>
  <si>
    <t>Sukhokhutirska</t>
  </si>
  <si>
    <t>48°23'15.00"N</t>
  </si>
  <si>
    <t>35°02'40.00"E</t>
  </si>
  <si>
    <t>Hard-rock magnesium occurrence formed by talc–magnesite mineralisation in weathered ultramafic rocks. Also contains associated nickel and cobalt enrichment. Explored but not yet developed as a deposit.</t>
  </si>
  <si>
    <t>Geological Evidence 0: The site is explicitly described as an occurrence rather than a deposit, with talc–magnesite mineralisation noted in weathered ultramafic rocks but without demonstrated continuity, defined ore bodies, or deposit-scale delineation. Data Quality 0: No quantitative data on tonnage, grade, MgO content, or associated Ni–Co concentrations are reported in publicly available sources, and no technical, metallurgical, or economic studies are cited. Classification Alignment 0: There is no evidence of GKZ, UNFC, or State Inventory reserve classification, no approved reserve statement, and no licensing documentation that would provide a formal classification anchor.</t>
  </si>
  <si>
    <t>Vanadium</t>
  </si>
  <si>
    <t>Ukraine does not host stand-alone vanadium deposits in an economic or classified sense; vanadium occurs almost entirely as an accessory or trace element tied to other metallogenic systems, and its strategic relevance is therefore conditional rather than primary. The main geological settings are (1) Fe–Ti–P magmatic systems of the Ukrainian Shield (Korosten pluton: Stremygorodske, Torchynske), where vanadium substitutes into ilmenite, titanomagnetite, or magnetite during fractional crystallisation but shows no independent enrichment; (2) placer titanium sands (Irshanske and related placers), where vanadium is inherited at trace levels within detrital ilmenite and is neither upgraded nor concentrated by sedimentary processes; (3) sedimentary manganese and iron formations (South Ukrainian Mn province, Kryvyi Rih BIFs), where vanadium occurs only at background levels via adsorption or lattice substitution in Mn or Fe oxides; and (4) complex uranium–iron systems (Zhovtorichenske), where vanadium is hydrothermally introduced but remains accessory, subordinate to U and Fe, and unquantified. Across all known sites, no vanadium grades, tonnages, recovery tests, or cut-off criteria are publicly reported, and vanadium is not listed as a commodity in GKZ, UNFC, or State Inventory classifications. Post-mining recovery is theoretically possible only as a by-product from future large-scale Fe–Ti or U operations via slag or leach circuits, but this would require metallurgical redesign, stable primary production, and favourable vanadium prices. Economically and geopolitically, Ukraine’s vanadium potential is therefore latent and dependent, not competitive with primary vanadium producers (e.g. titanomagnetite, stone coal, or vanadiferous shales elsewhere), and should be treated in policy terms as a possible secondary critical element rather than a resource pillar in its own right.</t>
  </si>
  <si>
    <t>The Stremygorodske occurrence is hosted within the Proterozoic Korosten anorthosite–mangerite–charnockite–granite complex of the Ukrainian Shield and represents a hard-rock apatite–ilmenite titanium system. Mineralisation is magmatic in origin and consists of disseminated to locally massive ilmenite and apatite within gabbro-anorthositic rocks. Vanadium occurs as a minor accompanying component, incorporated into ilmenite and titanomagnetite crystal lattices through solid-solution substitution, with no discrete vanadium minerals present. Its distribution reflects fractional crystallisation of Fe–Ti oxides during magma differentiation rather than independent vanadium enrichment.</t>
  </si>
  <si>
    <t>Geological Evidence 0: Vanadium at Stremygorodske is only an accessory element hosted in ilmenite and titanomagnetite within a magmatic apatite–ilmenite titanium system. There is no independent vanadium mineralisation, no vanadium-enriched zones, and no geological evidence for a vanadium occurrence or deposit in its own right.
Data Quality 0: Public sources do not report vanadium grades, tonnages, recovery factors, or any metallurgical testing focused on vanadium. Vanadium is mentioned qualitatively as a trace substituent in Fe–Ti oxides, without quantitative datasets supporting resource evaluation.
Classification Alignment 0: Stremygorodske is licensed and classified as a titanium–apatite deposit; vanadium is not classified in the State Inventory as a resource or reserve, has no GKZ or UNFC category, and is not recognised as a reportable by-product commodity for this site.</t>
  </si>
  <si>
    <t>Torchynske is an apatite–ilmenite–magnetite occurrence within the Korosten plutonic complex, formed by magmatic differentiation and cumulate processes in mafic to anorthositic intrusions. Ore bodies comprise layered and disseminated Fe–Ti oxides with associated apatite. Vanadium is present as a trace to minor element, hosted mainly in titanomagnetite and ilmenite, where it substitutes for iron during early oxide crystallisation. The vanadium content is genetically linked to titanium mineralisation and does not form an independent economic component.</t>
  </si>
  <si>
    <t>Geological Evidence 0: Torchynske hosts magmatic apatite–ilmenite–magnetite mineralisation within the Korosten plutonic complex, with vanadium occurring only as a trace element substituting into titanomagnetite and ilmenite during Fe–Ti oxide crystallisation. There are no vanadium-specific minerals, no vanadium-enriched zones, and no geological evidence for independent vanadium mineralisation.
Data Quality 0: Available literature does not report vanadium grades, tonnages, spatial distribution, or metallurgical recovery data. Vanadium is mentioned only qualitatively as a minor substituent in Fe–Ti oxides, without quantitative datasets sufficient for resource or by-product evaluation.
Classification Alignment 0: Torchynske is classified and inventoried exclusively as a titanium–apatite deposit. Vanadium is not listed as a commodity in the State Inventory, has no GKZ or UNFC classification, and is not recognised as a reportable by-product or strategic resource for this occurrence.</t>
  </si>
  <si>
    <t>The Fedorivske occurrence lies within the South Ukrainian sedimentary manganese province and is hosted by Oligocene shallow-marine deposits of the Eastern Paratethys. The mineralisation is dominated by manganese oxides and carbonates formed under variable redox conditions. Vanadium occurs only at trace levels, mainly adsorbed onto manganese oxides or incorporated into clay minerals, reflecting seawater scavenging processes rather than focused ore formation. It has no metallogenic or economic significance at this site.</t>
  </si>
  <si>
    <t>Geological Evidence 0: Fedorivske is a sedimentary manganese occurrence within the South Ukrainian Oligocene manganese province. Vanadium is present only as a trace element adsorbed onto manganese oxides or incorporated into clay minerals through seawater scavenging during sedimentation. There is no vanadium-specific mineralisation, enrichment, or geological control indicating focused vanadium accumulation.
Data Quality 0: Available sources discuss manganese genesis and regional sedimentary models but do not provide vanadium grades, tonnages, distribution, or metallurgical data. Vanadium is mentioned only implicitly as a trace component in Mn systems, with no dataset supporting quantitative assessment.
Classification Alignment 0: Fedorivske is classified as a manganese occurrence within the Eastern Paratethys sedimentary basin. Vanadium is not listed as a commodity in the State Inventory, has no reserve or resource classification, and is not recognised as a by-product or strategic mineral at this site.</t>
  </si>
  <si>
    <t>Irshanske is a placer titanium occurrence composed of Neogene to Quaternary heavy-mineral sands derived from erosion of nearby Proterozoic Fe–Ti intrusions of the Ukrainian Shield. The assemblage is dominated by detrital ilmenite with minor rutile and zircon. Vanadium is present only as an inherited component within ilmenite grains, reflecting the composition of the primary magmatic source rocks. No secondary enrichment or vanadium-specific concentration occurs during sedimentary reworking.</t>
  </si>
  <si>
    <t>Geological Evidence 0: Irshanske is a placer titanium occurrence composed of detrital ilmenite derived from erosion of Fe–Ti magmatic source rocks. Vanadium occurs only as an inherited trace element within ilmenite crystal lattices and shows no independent concentration, zoning, or mineralogical expression indicative of vanadium mineralisation.
Data Quality 0: Publicly available sources do not report vanadium grades, tonnages, recoveries, or spatial distribution. Vanadium is not quantified and is mentioned only implicitly through its known presence in Fe–Ti oxides, providing no basis for resource evaluation.
Classification Alignment 0: Irshanske is classified in the State Inventory and licensing framework as a titanium placer. Vanadium is not listed as a commodity, has no reserve or resource category, and is not recognised as a reportable by-product or strategic mineral for this occurrence.</t>
  </si>
  <si>
    <t>Hard-rock uranium–vanadium–scandium</t>
  </si>
  <si>
    <t>Zhovtorichenske is a complex hard-rock uranium–iron–scandium occurrence hosted in Paleoproterozoic ferruginous quartzites of the Ukrainian Shield. Mineralisation is structurally and metasomatically controlled, involving magnetite, hematite, uranium minerals, and associated hydrothermal alteration. Vanadium is a consistent accessory component, occurring mainly as lattice-bound V³⁺ in iron oxides, locally reaching elevated concentrations relative to other Ukrainian occurrences. Its enrichment is linked to hydrothermal fluid activity associated with uranium mineralisation rather than primary sedimentary processes.</t>
  </si>
  <si>
    <t>Geological Evidence 0: Zhovtorichenske is documented as a complex uranium–iron–scandium occurrence hosted in ferruginous quartzites, with vanadium present only as an accessory element incorporated into iron oxides during hydrothermal alteration. There is no evidence for discrete vanadium minerals, independent vanadium-rich zones, or deposit-scale vanadium enrichment that would justify treating vanadium as a primary or co-primary commodity.
Data Quality 0: Open sources do not report vanadium grades, tonnages, cutoff values, recoveries, or metallurgical behaviour. Vanadium is described qualitatively as an accompanying component, without quantitative datasets that would allow geological or economic assessment.
Classification Alignment 0: Zhovtorichenske is not classified in the State Inventory, GKZ, or UNFC frameworks as a vanadium deposit or vanadium by-product resource. Vanadium is not listed as a licenced commodity, has no reserve or resource category, and is not recognised as a strategic or reportable element for this occurrence.</t>
  </si>
  <si>
    <t>Pervomaiske is an iron-quartzite occurrence within the Kryvyi Rih iron ore basin, hosted by Paleoproterozoic banded iron formations. The mineral assemblage is dominated by magnetite and quartz with subordinate hematite. Vanadium is present only as a trace element, substituting into magnetite as part of the primary iron formation chemistry and subsequent metamorphic redistribution. It shows no evidence of secondary concentration or economic relevance.</t>
  </si>
  <si>
    <t>Geological Evidence 0: Pervomaiske is a banded iron formation occurrence dominated by magnetite–quartz assemblages. Vanadium is present only as a trace element substituting into magnetite crystal lattices, reflecting primary BIF geochemistry and later metamorphic redistribution, with no independent vanadium mineralisation or enrichment.
Data Quality 0: Publicly available sources do not provide vanadium grades, tonnages, spatial distribution, or metallurgical data. Vanadium is not quantified and is mentioned only implicitly as a trace component of iron oxides, offering no basis for resource assessment.
Classification Alignment 0: Pervomaiske is classified and licensed solely as an iron ore occurrence within the Kryvyi Rih basin. Vanadium is not listed as a commodity, has no reserve or resource category, and is not recognised in the State Inventory, GKZ, or UNFC frameworks for this site.</t>
  </si>
  <si>
    <t>The Gannivske occurrence is another iron-quartzite body within the Ukrainian Shield, similar in age and lithological characteristics to other banded iron formations of central Ukraine. Mineralisation consists mainly of magnetite-quartz bands formed during Precambrian chemical sedimentation and later metamorphism. Vanadium occurs at background levels as a minor substituent in magnetite, reflecting primary depositional conditions rather than any distinct vanadium-bearing process. Its presence is purely accessory.</t>
  </si>
  <si>
    <t>Geological Evidence 0: Gannivske is a banded iron formation–type iron-quartzite occurrence dominated by magnetite–quartz assemblages formed during Precambrian chemical sedimentation and subsequent metamorphism. Vanadium is present only at background levels as lattice-bound substitution in magnetite, with no discrete vanadium minerals, enrichment zones, or metallogenic processes specific to vanadium.
Data Quality 0: There are no published data on vanadium grades, tonnages, distribution, or metallurgical behaviour. Vanadium is mentioned only implicitly as a trace component of magnetite, providing no quantitative basis for geological or economic evaluation.
Classification Alignment 0: Gannivske is classified exclusively as an iron ore occurrence in national inventories and textbooks. Vanadium is not listed as a commodity, has no reserve or resource classification under GKZ or UNFC systems, and is not recognised as a by-product or strategic element for this site.</t>
  </si>
  <si>
    <t>Fluorspar</t>
  </si>
  <si>
    <t xml:space="preserve">Hydrothermal fluorite </t>
  </si>
  <si>
    <t>Ukraine has a very limited and non-competitive fluorspar endowment, with all known occurrences restricted to small, structurally controlled hydrothermal systems rather than large stratiform or carbonate-hosted deposits typical of major global producers. Fluorite mineralisation is documented mainly as narrow veins and veinlets associated with fault zones in crystalline basement (Bakhtynske, Vinnytsia region), the Donbas fault systems (Pokrovo–Kyreivske, Petrovo–Gnutivske), and Neogene volcanic–hydrothermal settings in Zakarpattia (Ardivske), where fluorite occurs with quartz, calcite, and minor sulphides from low- to moderate-temperature fluids. Across all sites, mineralisation is discontinuous, heterogeneous, and modest in scale, with no evidence for laterally persistent ore bodies, bulk mineable tonnage, or consistent grades. Critically, no public reserve or resource estimates, grade distributions, beneficiation tests, or recovery data exist, and none of the occurrences are classified under GKZ, UNFC, or licensed as operating or development-stage fluorspar deposits. Post-mining and processing capacity for fluorspar is effectively absent, and Ukraine currently has no domestic fluorspar production, relying instead on imports for metallurgical and chemical uses. From an economic and geopolitical perspective, Ukrainian fluorspar should be regarded as geologically real but strategically insignificant, with no realistic pathway to near- or medium-term supply security contribution; even under favourable conditions, these occurrences would at best support small, local niche extraction, not EU-scale critical raw material substitution.</t>
  </si>
  <si>
    <t>The Bakhtynske fluorspar deposit is a hydrothermal fluorite system hosted in faulted crystalline rocks of the southwestern Ukrainian Shield. Mineralisation occurs in veins and veinlets controlled by regional fracture zones, with fluorite associated mainly with quartz and calcite and minor sulphides. The deposit formed from low- to moderate-temperature hydrothermal fluids related to post-magmatic tectonic activity. Fluorite is the principal ore mineral, but grades and thicknesses are variable, and the deposit is modest in scale.</t>
  </si>
  <si>
    <t>Geological Evidence 0: Bakhtynske is a small hydrothermal fluorite deposit with vein-type mineralisation controlled by fault zones in crystalline basement rocks. While fluorite is clearly identified as the principal mineral, the system is limited in scale, discontinuous, and shows strong variability in vein thickness and grade, with no evidence of a large, laterally continuous or robust ore body.
Data Quality 0: Publicly available sources do not provide quantified reserve or resource estimates, grade distributions, cutoff parameters, or beneficiation and recovery data. Available information is descriptive and genetic only, insufficient for geological or economic evaluation at deposit scale.
Classification Alignment 0: Bakhtynske is not reported with approved reserves in the State Inventory, GKZ, or UNFC frameworks and is not licensed as an operating or development-stage fluorspar deposit. It is referenced in strategic overviews as a known occurrence or minor deposit, but without formal classification or recognition as a reportable fluorspar resource.</t>
  </si>
  <si>
    <t>Pokrovo–Kyreivske</t>
  </si>
  <si>
    <t>Hydrothermal fluorite</t>
  </si>
  <si>
    <t>47°03′01″N</t>
  </si>
  <si>
    <t>37°27′57″E</t>
  </si>
  <si>
    <t>The Pokrovo–Kyreivske deposit represents a hydrothermal fluorite vein system developed along deep-seated faults in the Donbas region. Fluorite occurs in narrow veins and brecciated zones, typically accompanied by quartz, calcite, and locally sulphide minerals. Mineralisation is structurally controlled and genetically linked to circulation of fluorine-rich fluids along regional tectonic lineaments. The deposit is relatively small and heterogeneous, limiting its economic potential.</t>
  </si>
  <si>
    <t>Geological Evidence 0: Pokrovo–Kyreivske is a structurally controlled hydrothermal fluorite vein system with narrow, discontinuous veins and breccia zones. Mineralisation is real but limited in size and continuity, characteristic of small vein-type occurrences rather than a laterally persistent ore body.
Data Quality 0: Available information is descriptive only. There are no published tonnage, grade ranges, reserve estimates, or technological test results that would allow translation into a CRIRSCO-style resource framework.
Classification Alignment 0: The deposit is not reported with GKZ, UNFC, or state-approved reserve categories and is not licensed or classified as an industrial fluorspar resource. It is referenced only as a known hydrothermal occurrence in regional and strategic reviews.</t>
  </si>
  <si>
    <t>Petrovo–Gnutivske</t>
  </si>
  <si>
    <t>Petrovo–Gnutivske is a fluorspar occurrence of hydrothermal origin, characterised by small fluorite-bearing veins and veinlets within faulted host rocks. The mineralisation is discontinuous and closely associated with fracture zones and breccias, with fluorite occurring alongside quartz and carbonate minerals. The occurrence reflects localized hydrothermal fluid flow rather than a well-developed ore system and has no defined reserves.</t>
  </si>
  <si>
    <t>Geological Evidence 0: Petrovo–Gnutivske is a small hydrothermal fluorite occurrence consisting of narrow, discontinuous veins and veinlets confined to fault and breccia zones. Mineralisation is localized and lacks the lateral continuity, thickness, and volumetric development required to demonstrate a deposit-scale ore system.
Data Quality 0: There are no published quantitative data on tonnage, grade, continuity, or beneficiation characteristics. Available information is purely descriptive and genetic, and cannot be translated into any CRIRSCO-style resource parameters.
Classification Alignment 0: The occurrence has no GKZ, UNFC, or state-approved reserve classification and is not reported as a licensed or evaluated fluorspar deposit. It appears only as an occurrence in strategic and regional compilations, without a formal resource anchor.</t>
  </si>
  <si>
    <t>Ardivske</t>
  </si>
  <si>
    <t xml:space="preserve"> 48°10'49.76"N</t>
  </si>
  <si>
    <t xml:space="preserve"> 22°48'25.46"E</t>
  </si>
  <si>
    <t>The Ardivske fluorspar occurrence is located within the Carpathian volcanic region of western Ukraine and is genetically linked to Neogene magmatic–hydrothermal activity. Fluorite occurs in small veins and disseminations associated with volcanic and subvolcanic rocks, commonly accompanied by quartz and calcite. Mineralisation formed from late-stage hydrothermal fluids related to volcanic processes, but the occurrence is limited in size and grade and is of exploratory significance only.</t>
  </si>
  <si>
    <t>Geological Evidence 0: Ardivske is a small magmatic–hydrothermal fluorite occurrence associated with Neogene volcanic and subvolcanic rocks. Fluorite mineralisation is present but confined to small veins and disseminations with limited lateral and vertical continuity, insufficient to demonstrate a deposit-scale ore body.
Data Quality 0: No quantitative data are available on tonnage, grade, thickness, continuity, or beneficiation behaviour. The available information is descriptive and genetic only and cannot be translated into a CRIRSCO-style resource framework.
Classification Alignment 0: Ardivske has no GKZ, UNFC, or state-approved reserve classification and is not recorded as a licensed or evaluated fluorspar deposit. It is referenced only as an occurrence of exploratory interest in strategic and regional summaries.</t>
  </si>
  <si>
    <t>Nickel</t>
  </si>
  <si>
    <t>Derenyukhynske</t>
  </si>
  <si>
    <t>Supergene silicate (lateritic) nickel</t>
  </si>
  <si>
    <t>48°33'41.88"N</t>
  </si>
  <si>
    <t>30°36'12.42"E</t>
  </si>
  <si>
    <t>Mykhailov, V. A., Malyuk, B., Kovalenko, N., Bertrand, G., de Oliveira, D., Wittenberg, A., Wellmer, F.-W., Horwath, Z., Hollis, J., Wall, P., &amp; Quijano Gaudes, L. (2023). Strategic minerals of Ukraine and their investment attractiveness. BRGM; Taras Shevchenko National University of Kyiv; EuroGeoSurveys.
Paranko, I. S. (2011). Metallichni korysni kopalyny Ukrainskoho shchyta. Kryvyi Rih National University Publishing.</t>
  </si>
  <si>
    <t>Ukraine has a modest and structurally constrained nickel endowment, dominated by supergene silicate (lateritic) nickel developed in weathering crusts on ultramafic rocks of the Ukrainian Shield (notably the Pobuzhzhia and Middle Dnipro areas). These laterites are typically shallow, clay rich, and medium grade by global standards, which makes them cost and power sensitive and generally less competitive than the large, high throughput laterite provinces that anchor today’s nickel supply growth (Indonesia, Philippines), or the higher grade sulphide camps elsewhere. Ukraine’s only industrial post mining pathway that is clearly documented is the Pobuzhsky Ferronickel Plant, which states it is the country’s only ferronickel producer, with an annual capacity stated as over 22,000 t Ni and a large laterite ore feed base.
The key constraint is that nickel’s economics in Ukraine are tied to energy reliability and logistics more than geology. In late 2022, Pobuzhsky Ferronickel Plant reported it was forced to halt production after damage to the local power grid and broader energy shortages linked to Russian strikes, explicitly noting that the metallurgical process and even water intake were disrupted, and that the plant would only resume when conditions improved. This illustrates the core geopolitical reality: even where ore exists, conversion capacity and continuity of operations are the binding constraints, and they translate directly into investment risk, product reliability risk, and higher working capital needs for any restart scenario.
Strategically, Ukrainian nickel is therefore best seen as geologically real but economically conditional. If Ukraine can secure stable power, rebuild grid resilience, and de risk logistics, then lateritic nickel could support regional supply diversification and niche ferronickel output. Without those conditions, most Ukrainian nickel occurrences remain sub scale, undeveloped, and unlikely to shift EU supply security in the near term, because the limiting factor is not discovery, it is bankable processing, uninterrupted utilities, and investable risk profile.</t>
  </si>
  <si>
    <t>Derenyukhynske is a supergene silicate nickel occurrence hosted in nontronite-rich weathering crust developed on Archean ultramafic rocks of the Pobuzka Fault Zone within the Ukrainian Shield. Nickel enrichment resulted from prolonged lateritic weathering of serpentinites and peridotites during Jurassic–Early Cretaceous time, with cobalt occurring as a common accessory element. Shallow lateritic profile; sheet-like bodies; typical Pobuzka dimensions 200 to 2000 m long, 40 to 500 m wide, average ore thickness ~2.9 to 8.7 m; ore from surface to ~10 m depth; average Ni ~0.9 to 0.99% (locally higher). Likely only works if you have low-cost open-pit mining, simple beneficiation, and a viable ferronickel route with stable power and logistics, plus cobalt credit. The report’s “low quality” framing and the historic problems with domestic ore economics are the main red flags.</t>
  </si>
  <si>
    <t>Geological Evidence 1: Derenyukhynske shows demonstrable nickel mineralisation formed by supergene lateritic processes in a well-defined weathering crust developed on ultramafic rocks of the Pobuzka Fault Zone. Nickel enrichment is documented, lateritic profiles are described, and Ni–Co association is consistent with known Pobuzka-type silicate nickel systems. Mineralisation is real and geologically coherent, even if shallow and laterally variable.
Data Quality 0: Although indicative nickel grades and thickness ranges are mentioned in the literature, there are no traceable, state-approved tonnage figures, no formally reported resource estimates, and no consistent dataset suitable for translation into a CRIRSCO-style framework. Reported values are descriptive, generalized, and not tied to a defined reserve statement or technical report.
Classification Alignment 0: Derenyukhynske is not reported with GKZ, UNFC, or other state-approved reserve or resource categories and is not licensed or treated as an evaluated nickel deposit. It is consistently described as an occurrence or low-quality lateritic nickel manifestation in regional syntheses, without a formal classification anchor.</t>
  </si>
  <si>
    <t xml:space="preserve">Kapitanivske </t>
  </si>
  <si>
    <t>48°31'09.67"N </t>
  </si>
  <si>
    <t>30°40'58.31"E</t>
  </si>
  <si>
    <t>Mykhailov, V. A., et al. (2023). Strategic minerals of Ukraine and their investment attractiveness.
Hrinchenko, O. V., et al. (2006). Metalichni korysni kopalyny Ukrainy. Kyiv University Publishing.</t>
  </si>
  <si>
    <t>Kapitanivske is a lateritic silicate nickel deposit formed in the weathered crust of chromium-bearing ultramafic rocks within the Pobuzka Group. Nickel is concentrated in nontronite clays derived from serpentinized peridotites, while chromite relics reflect the primary ultramafic protolith. Same Pobuzka laterite geometry and grades as above, plus Cr association. Medium viability (relative to the group). Two reasons: (1) the project has a special permit for nickel ore mining noted in the report, and (2) Cr can support a polymetallic development narrative if metallurgically workable. low Ni grade relative to many global laterites and the need for a proven flowsheet.</t>
  </si>
  <si>
    <t>Geological Evidence 1: Kapitanivske shows clear and well-documented supergene nickel mineralisation developed in a lateritic weathering crust over ultramafic rocks of the Pobuzka Group. Nickel enrichment in nontronite clays, association with serpentinized peridotites, and consistent Pobuzka-type geometry demonstrate real, coherent mineralisation rather than speculative indication.
Data Quality 0: Although regional descriptions of laterite thickness, geometry, and indicative nickel grades exist, there are no publicly available, traceable tonnage figures or formally reported resource statements that can be translated into a CRIRSCO-style framework. The data remain generalized and synthesis-level only.
Classification Alignment 0: Despite mention of a special permit in strategic summaries, there is no published GKZ, UNFC, or state-approved reserve or resource classification available in the open literature. The site lacks a clearly documented classification anchor that could be crosswalked to PERC categories.</t>
  </si>
  <si>
    <t xml:space="preserve">Lypovenkivske </t>
  </si>
  <si>
    <t>48°29'52.41"N</t>
  </si>
  <si>
    <t>30°42'36.15"E</t>
  </si>
  <si>
    <t>Mykhailov, V. A., et al. (2023). Strategic minerals of Ukraine and their investment attractiveness.
Paranko, I. S. (2011). Metallichni korysni kopalyny Ukrainskoho shchyta.</t>
  </si>
  <si>
    <t>Lypovenkivske is a complex supergene silicate nickel occurrence associated with deep lateritic weathering of ultramafic rocks enriched in chromium and cobalt. Nickel and cobalt are hosted mainly in nontronite and related clay minerals formed during prolonged chemical alteration. Pobuzka lateritic style; licensing proposals for production are noted in the report. Economic viability (screen): Medium (relative to the group). If cobalt recovery is feasible and Cr credits exist, it improves the economics compared with a “Ni-only” laterite.
Main risk: laterite metallurgy and concentrate quality.</t>
  </si>
  <si>
    <t>Geological Evidence 1: Lypovenkivske contains demonstrable nickel mineralisation formed by supergene lateritic processes in a well-developed weathering crust over ultramafic rocks of the Pobuzka zone. Nickel and cobalt enrichment in nontronite and related clay minerals is consistent with established Pobuzka-type silicate nickel systems and confirms real mineralisation rather than speculative indication.
Data Quality 0: While indicative descriptions of laterite style, associated elements, and general economic considerations are available, there are no publicly reported, traceable tonnage figures, grade distributions, or technical reserve statements that can be translated into a CRIRSCO-style resource framework. The information remains qualitative and screening-level.
Classification Alignment 0: Lypovenkivske is not documented with GKZ, UNFC, or state-approved reserve categories in open sources. References to licensing proposals do not constitute a formal classification anchor, and the site is treated as an occurrence rather than a classified mineral resource.</t>
  </si>
  <si>
    <t>Skhidno-Lypovenkivske</t>
  </si>
  <si>
    <t>48°29'21.74"N</t>
  </si>
  <si>
    <t>30°44'08.92"E</t>
  </si>
  <si>
    <t>Skhidno-Lypovenkivske is a silicate nickel occurrence within the Pobuzka Group, hosted in lateritic weathering crust developed on Archean ultramafic bodies. Nickel mineralisation is supergene in origin and dominated by nontronite-rich clay assemblages. Mining data: Pobuzka laterite geometry and grade envelope. 
Economic viability (screen): Low to medium. Likely depends on whether it can be developed as a satellite ore source to a central processing route.</t>
  </si>
  <si>
    <t>Geological Evidence 1: Skhidno-Lypovenkivske contains demonstrable supergene nickel mineralisation developed in a lateritic weathering crust over ultramafic rocks of the Pobuzka Group. Nickel enrichment in nontronite-rich clays is consistent with the established Pobuzka silicate nickel model and confirms real mineralisation at occurrence scale.
Data Quality 0: Available information is limited to regional descriptions and inferred geometry and grade envelopes typical of Pobuzka laterites. There are no traceable tonnage figures, resource estimates, or technical data suitable for translation into a CRIRSCO-style framework.
Classification Alignment 0: The occurrence is not reported with GKZ, UNFC, or other state-approved reserve or resource categories and is not documented as a licensed or classified nickel deposit. It is consistently treated as an occurrence or satellite prospect only.</t>
  </si>
  <si>
    <t>Pushkivske</t>
  </si>
  <si>
    <t>48°27'54.63"N</t>
  </si>
  <si>
    <t>30°38'44.27"E</t>
  </si>
  <si>
    <t>Mykhailov, V. A., et al. (2023). Strategic minerals of Ukraine and their investment attractiveness.
Hrinchenko, O. V., et al. (2006). Metalichni korysni kopalyny Ukrainy.</t>
  </si>
  <si>
    <t>Pushkivske is a lateritic silicate nickel occurrence formed by intense chemical weathering of ultramafic rocks within the Pobuzka structural zone. Nickel is distributed in sheet-like ore bodies within clay-dominated weathering horizons. Mining data: Pobuzka laterite geometry and grade envelope. 
Economic viability (screen): Low to medium for the same reasons as Skhidno-Lypovenkivske.</t>
  </si>
  <si>
    <t>Geological Evidence 1: Pushkivske contains demonstrable supergene nickel mineralisation developed in a lateritic weathering crust over ultramafic rocks of the Pobuzka structural zone. Nickel enrichment in clay-rich horizons and sheet-like ore geometry are consistent with established Pobuzka-type silicate nickel systems, confirming real mineralisation at occurrence scale.
Data Quality 0: Available information is limited to regional descriptions and inferred geometry and grade envelopes typical of Pobuzka laterites. There are no publicly available tonnage figures, reserve estimates, or technical datasets that can be translated into a CRIRSCO-style resource framework.
Classification Alignment 0: Pushkivske is not reported with GKZ, UNFC, or state-approved reserve or resource categories and is not documented as a licensed or evaluated nickel deposit. It is treated consistently in the literature as an occurrence rather than a classified mineral resource.</t>
  </si>
  <si>
    <t>Grushkivske</t>
  </si>
  <si>
    <t>48°28'36.90"N</t>
  </si>
  <si>
    <t>30°35'19.84"E</t>
  </si>
  <si>
    <t>Grushkivske is a supergene silicate nickel occurrence associated with weathered serpentinites of the Pobuzka Group. Nickel enrichment occurred through lateritic processes, with minor cobalt present as an accompanying element. Mining data: Pobuzka laterite geometry and grade envelope.Economic viability (screen): Low to medium; likely satellite logic again.</t>
  </si>
  <si>
    <t>Geological Evidence 1: Grushkivske hosts genuine supergene silicate nickel mineralisation developed in a lateritic weathering crust over serpentinitised ultramafic rocks of the Pobuzka Group. The presence of nontronite-rich clays with associated cobalt is consistent with established Pobuzka-type lateritic nickel systems, confirming a valid geological occurrence.
Data Quality 0: Publicly available information is limited to regional geological descriptions and generalised Pobuzka-style geometry and grade ranges. There are no disclosed drilling results, tonnage estimates, grade continuity data, or metallurgical test results that would allow quantitative resource assessment.
Classification Alignment 0: Grushkivske is not reported with state-approved reserve or resource categories and has no documented GKZ, UNFC, or CRIRSCO-aligned classification. It is consistently described in the literature as an occurrence and is best interpreted as a potential satellite target rather than a standalone mineral resource.</t>
  </si>
  <si>
    <t>Tarnuvatske</t>
  </si>
  <si>
    <t>48°25'18.57"N</t>
  </si>
  <si>
    <t>30°31'41.66"E</t>
  </si>
  <si>
    <t>Mykhailov, V. A., et al. (2007). Geological structure and mineralisation of the Tarnuvatske nickel deposit. Geology of Ore Deposits, 49(6), 521–536.
Mykhailov, V. A., et al. (2023). Strategic minerals of Ukraine and their investment attractiveness.</t>
  </si>
  <si>
    <t>Tarnuvatske is a medium-scale silicate nickel deposit hosted in the weathered crust of a large serpentinite massif in the Golovanivskyi Block. Nickel mineralisation occurs in nontronite-rich zones above dunite–peridotite sequences and is structurally segmented by fault systems. Mining data: Weathered crust up to ~15 m, covered by Neogene and Quaternary sediments ~10 to 25 m; average Ni ~0.91% and Co ~0.046%; classified as “medium scale” in the report.
Economic viability (screen): Medium. It is one of the two nickel deposits singled out in the report’s “promising” investment class table.
Main risk: Ni grade is still modest, so economics are sensitive to power cost, recovery, and whether a clean ferronickel product is achievable.</t>
  </si>
  <si>
    <t>Geological Evidence 1: Tarnuvatske is a well-documented supergene silicate nickel deposit developed in a lateritic weathering crust over a large serpentinite massif of the Golovanivskyi Block. Peer-reviewed work (Mykhailov et al., 2007) confirms nontronite-hosted nickel and cobalt enrichment above dunite–peridotite protoliths, with clear structural control and thicknesses typical of mature Pobuzka-type laterites. This places Tarnuvatske firmly as a genuine deposit rather than a mere occurrence.
Data Quality 1: Unlike most Pobuzka lateritic sites, Tarnuvatske has published geological, stratigraphic, and grade data, including average Ni and Co contents, weathering crust thickness, and internal segmentation. While detailed modern CRIRSCO-style resource statements and metallurgical test work are not publicly available, the data quality exceeds regional descriptive level and supports deposit-scale evaluation.
Classification Alignment 0: Tarnuvatske is explicitly classified as a deposit in the literature and is one of the few lateritic nickel sites identified as “promising” in national strategic assessments. Although formal reserve figures are not publicly disclosed, its recognition as a medium-scale deposit with comparative evaluation places it above occurrence status and justifies positive alignment at the deposit level rather than speculative classification.</t>
  </si>
  <si>
    <t>Devladivske</t>
  </si>
  <si>
    <t>Supergene silicate nickel</t>
  </si>
  <si>
    <t>48°03'29.41"N </t>
  </si>
  <si>
    <t>33°19'48.72"E</t>
  </si>
  <si>
    <t>Varentsov, I. M., Stolyarov, A. S., Ivleva, E. I., et al. (1997). Geochemical model of manganese and associated nickel mineralisation in the South Ukrainian Basin. Geology of Ore Deposits, 39(1), 49–67.
Mykhailov, V. A., et al. (2023). Strategic minerals of Ukraine and their investment attractiveness.</t>
  </si>
  <si>
    <t>Devladivske is a complex supergene silicate nickel deposit developed on weathered peridotites and gabbro-peridotites of the Middle Dniprean megablock. Nickel is concentrated in nontronite horizons, while overlying ochre zones host associated iron ores. Mining data: Complex deposit (Ni + iron ores + refractory clays). Nickel is hosted in the nontronite zone (8 to 10 m), with overlying ochre zone (15 to 20 m) forming economic iron ore; Ni average 1.06 to 1.24% (locally 1.5 to 2.0%); Co ~0.04 to 0.05%; nickel occurs in multiple ore bodies. 
Economic viability (screen): Medium. Grade is at the upper end of the Ukrainian laterite range and there is potential integrated value if iron and clays are marketable.
Main risk: complexity can also hurt (multiple products, more processing, harder permitting).</t>
  </si>
  <si>
    <t>Geological Evidence 1: Devladivske is a genuine supergene silicate nickel deposit developed in a lateritic weathering profile over ultramafic rocks of the Middle Dniprean megablock. The deposit formed through prolonged chemical weathering of peridotites and gabbro-peridotites, producing a well-developed nontronite horizon enriched in nickel, overlain by an ochre zone hosting iron ores. Peer-reviewed work by Varentsov et al. (1997) confirms its genetic coherence as part of the South Ukrainian lateritic nickel province and distinguishes it from simple surface occurrences.
Data Quality 1: Devladivske is supported by relatively robust historical geological and geochemical data compared with most Ukrainian lateritic nickel sites. Published figures include thicknesses of ore horizons, nickel and cobalt grades, and recognition of multiple ore bodies. While modern reserve statements and metallurgical test data are not publicly available, the reported Ni grades (commonly &gt;1 percent, locally up to 2 percent) place it at the higher end of the national laterite spectrum, indicating meaningful exploration maturity.
Classification Alignment 1: The site is consistently described as a deposit rather than an occurrence due to its multi-horizon structure, repeatable nickel grades, and additional economically relevant components such as iron ores and refractory clays. Although the complexity of polymetallic development increases technical and permitting risk, the integrated resource character supports classification at deposit level. The absence of formal reserves justifies conservative scoring, but the geological completeness and grade profile clearly exceed occurrence status.</t>
  </si>
  <si>
    <t>Nove</t>
  </si>
  <si>
    <t>48°05'14.22"N</t>
  </si>
  <si>
    <t>33°17'36.55"E</t>
  </si>
  <si>
    <t>Nove is a silicate nickel occurrence within the Devladivska ultramafic belt, where nickel is hosted in clay-rich lateritic profiles developed on Archean ultramafic rocks. Mineralisation is laterally discontinuous and supergene in origin.Mining data: Listed as part of Devladivska group; lateritic supergene Ni context applies, but the report does not give Nove-specific tonnage or grade in the excerpted section.  Economic viability (screen): Low to unknown. Without deposit-specific grade, thickness, and continuity, you cannot justify viability beyond “regional prospect”.</t>
  </si>
  <si>
    <t>Geological Evidence 1: Nove is a supergene silicate nickel occurrence developed within the Devladivska ultramafic belt of the Middle Dnipro region. Nickel mineralisation formed through lateritic weathering of Archean ultramafic rocks, with Ni hosted predominantly in nontronite and related clay minerals. The genetic setting is well understood and consistent with the broader Devladivske laterite system, but at Nove the mineralisation is described as laterally discontinuous and not clearly differentiated into persistent ore bodies.
Data Quality 1: Available information for Nove is weak and derivative. The 2023 synthesis by Mykhailov et al. lists the site as part of the Devladivska group, but does not provide Nove-specific grades, thicknesses, tonnages, or continuity data. Earlier regional compilations likewise treat Nove as a mapped occurrence rather than a separately evaluated deposit. The absence of deposit-scale drilling results or geochemical statistics significantly limits confidence.
Classification Alignment 1: Nove is correctly classified as an occurrence rather than a deposit. While it shares the same lateritic nickel-forming processes as the Devladivske deposit, it lacks independent geological definition, quantified resources, or demonstrated economic continuity. Its value is therefore limited to regional prospectivity within the Devladivska ultramafic belt, and no standalone development case can be justified on the current evidence.</t>
  </si>
  <si>
    <t>Ternivske</t>
  </si>
  <si>
    <t>48°01'02.86"N</t>
  </si>
  <si>
    <t>33°22'11.93"E</t>
  </si>
  <si>
    <t>Mykhailov, V. A., et al. (2023). Strategic minerals of Ukraine and their investment attractiveness.
Hrinchenko, O. V., et al. (2006). Metalichni korysni kopalyny Ukrainy.</t>
  </si>
  <si>
    <t>Ternivske is a supergene nickel occurrence associated with serpentinized ultramafic rocks of the Devladivska Fault Zone. Nickel and cobalt are concentrated in nontronite-rich weathering horizons formed during Jurassic–Early Cretaceous lateritisation. Mining data: Part of Devladivska group. The report provides ultramafic host composition and indicates Ni-bearing potential in the belt, but not a standalone mining scenario for Ternivske in the provided text. Economic viability (screen): Low to unknown pending deposit-specific drilling, continuity, and metallurgical results.</t>
  </si>
  <si>
    <t>Geological Evidence
Ternivske is a supergene silicate nickel occurrence associated with lateritic weathering of serpentinised ultramafic rocks within the Devladivska structural zone of the Ukrainian Shield. Nickel and cobalt enrichment is interpreted to have formed during Jurassic to Early Cretaceous lateritisation, with metals hosted predominantly in nontronite-rich clay horizons. This genetic model is well established at the belt scale for the Devladivska ultramafic province, but there is no evidence that Ternivske itself represents a coherent, laterally continuous ore body. The occurrence is inferred rather than demonstrated and is defined primarily by analogy with better-studied parts of the belt.
Data Quality
Data quality for Ternivske is poor. The 2023 national synthesis and earlier compilations mention the occurrence only in passing, grouped with other Devladivska lateritic nickel sites, without providing deposit-specific drilling results, grades, thicknesses, tonnage estimates, or continuity data. No standalone geological model, resource classification, or metallurgical testing is published for Ternivske. The available information does not allow differentiation between background lateritic enrichment and potentially mineable nickel mineralisation. In practical terms, the occurrence is defined by regional mapping and extrapolation, not by direct evidence.
Classification and Economic Relevance
Ternivske does not meet the criteria of a deposit and should not be treated as a resource-bearing asset. While the geological environment is permissive for lateritic nickel formation, there is no demonstrated concentration, scale, or continuity sufficient to justify economic consideration. Without deposit-specific exploration data, Ternivske cannot be evaluated beyond the level of a speculative regional prospect. Any implication of development potential would be unsupported and misleading at this stage.</t>
  </si>
  <si>
    <t>Chervonyi Yar</t>
  </si>
  <si>
    <t>47°59'44.31"N</t>
  </si>
  <si>
    <t>33°24'06.88"E</t>
  </si>
  <si>
    <t>Mykhailov, V. A., et al. (2023). Strategic minerals of Ukraine and their investment attractiveness.
Paranko, I. S. (2011). Metallichni korysni kopalyny Ukrainskoho shchyta.</t>
  </si>
  <si>
    <t>Chervonyi Yar is a silicate nickel occurrence hosted in weathered ultramafic rocks of the Devladivska Group. Nickel mineralisation is supergene and confined to clay-dominated weathering crusts. Mining data: Part of Devladivska group, but again no stand-alone economic parameters are provided in the nickel section excerpt. Economic viability (screen): Low to unknown for the same reason.</t>
  </si>
  <si>
    <t>Geological Evidence 1: Chervonyi Yar contains demonstrable supergene silicate nickel mineralisation formed by lateritic weathering of ultramafic rocks within the Devladivska Group, with nickel hosted in clay-rich (nontronite-dominated) weathering horizons, confirming real mineralisation at occurrence level. Data Quality 0: No deposit-specific quantitative data are available on grades, thicknesses, tonnage, continuity, or metallurgy; the site is only mentioned as part of the broader Devladivska group, preventing translation into any CRIRSCO-style framework. Classification Alignment 0: Chervonyi Yar has no GKZ, UNFC, or state-approved reserve classification and is consistently treated in the literature as an occurrence rather than a defined deposit, with no formal resource anchor.</t>
  </si>
  <si>
    <t xml:space="preserve">Prutivske </t>
  </si>
  <si>
    <t>Copper–nickel and polymetallic nickel</t>
  </si>
  <si>
    <t>51°00'43.12"N</t>
  </si>
  <si>
    <t>27°21'36.49"E</t>
  </si>
  <si>
    <t>Kostenko, M. M. (1989). Copper–nickel sulphide mineralisation of the Ukrainian Shield. Geological Journal, 23(2), 45–58.
Paranko, I. S. (2013). Rudni formatsii Ukrainskoho shchyta. Kryvyi Rih National University Publishing.</t>
  </si>
  <si>
    <t>Prutivske is an exploration-stage copper–nickel occurrence associated with mafic intrusions of the Ukrainian Shield. Nickel occurs in sulphide mineralisation together with copper, indicating a magmatic origin distinct from Ukraine’s lateritic nickel deposits. Mining data: Paleoproterozoic sill-like intrusion traced ~3 km; ore zones near contacts, thickness from metres to ~15 m; sulphide dissemination typically 3 to 20% and locally higher; typical assemblages include pentlandite, chalcopyrite, pyrrhotite. Economics indicators: A public investment deck (Ukraine Recovery Conference materials) quotes a development concept: 40.23 Mt ore with grades ~0.42% Ni, 0.18% Cu, 0.02% Co and an estimated ~US$200M for mine + beneficiation.
Economic viability (screen): Medium (best of the Cu–Ni set). It has an articulated development concept and meaningful tonnage, but it still needs concentrate quality proof, recoveries, and a realistic logistics and power plan.</t>
  </si>
  <si>
    <t>Geological Evidence 1: Prutivske hosts demonstrable copper–nickel sulphide mineralisation associated with mafic intrusive rocks of the Ukrainian Shield. The presence of magmatic sulphide assemblages including pentlandite, chalcopyrite, and pyrrhotite, together with mapped ore zones along intrusion contacts, confirms real primary Ni–Cu mineralisation rather than speculative or background enrichment.
Data Quality 0: Although indicative figures are cited in secondary materials and investment-style summaries, there is no traceable, formally published resource statement with verifiable tonnage, grade continuity, cutoff criteria, or QAQC that can be translated into a CRIRSCO-style framework. The quoted development concept and headline numbers are not supported by publicly available technical reports or audited geological documentation and therefore cannot be relied upon for scoring.
Classification Alignment 0: Prutivske has no GKZ, UNFC, or state-approved reserve or resource classification cited in the literature. It is consistently described as an exploration-stage occurrence rather than a classified deposit. Without an official classification anchor, it cannot be aligned with PERC or CRIRSCO categories despite its relative promise within the Ukrainian Cu–Ni context.</t>
  </si>
  <si>
    <t>Varvarivske</t>
  </si>
  <si>
    <t>50°54'18.67"N</t>
  </si>
  <si>
    <t>25°17'52.30"E</t>
  </si>
  <si>
    <t>Paranko, I. S. (2013). Rudni formatsii Ukrainskoho shchyta.
Mykhailov, V. A., et al. (2023). Strategic minerals of Ukraine and their investment attractiveness.</t>
  </si>
  <si>
    <t>Varvarivske is a prospective polymetallic nickel occurrence associated with mafic–ultramafic intrusions of the Ukrainian Shield. Mineralisation is interpreted as sulphide-type nickel with copper and cobalt, but remains at an early exploration stage.  Mining data: Mentioned as a promising Co–Cu–Ni occurrence group; associated with the Varvarivskyi ultramafic massif; reported Ni 0.5 to 1.5% and Co up to 0.1% (occurrence-scale statement). 
Economic viability (screen): Low to unknown. These grades can be interesting, but occurrences need tonnage, continuity, formation, and metallurgy before “viable” can be argued.</t>
  </si>
  <si>
    <t>Geological Evidence 1: Varvarivske contains demonstrable nickel-bearing sulphide mineralisation associated with mafic to ultramafic intrusive rocks of the Ukrainian Shield. The reported association with copper and cobalt and the presence of sulphide-type Ni mineralisation indicate a valid magmatic ore-forming process rather than background geochemical enrichment, confirming real mineralisation at occurrence level.
Data Quality 0: The available data are sparse and occurrence-scale only. Reported nickel and cobalt grades are cited without supporting information on drilling density, continuity, thickness, tonnage, or metallurgical characteristics. There is no publicly available technical report, resource estimate, or dataset that would allow translation into a CRIRSCO-style framework.
Classification Alignment 0: Varvarivske has no GKZ, UNFC, or state-approved reserve or resource classification and is consistently described in the literature as a prospective or promising occurrence. Without a formal classification anchor or deposit-level delineation, it cannot be aligned with PERC or treated as a mineral resource.</t>
  </si>
  <si>
    <t>Volodymyrivske</t>
  </si>
  <si>
    <t>50°52'09.84"N</t>
  </si>
  <si>
    <t>27°34'41.92"E</t>
  </si>
  <si>
    <t>Paranko, I. S. (2013). Rudni formatsii Ukrainskoho shchyta.
Kostenko, M. M. (1989). Copper–nickel sulphide mineralisation of the Ukrainian Shield. Geological Journal, 23(2), 45–58.</t>
  </si>
  <si>
    <t>Volodymyrivske is an exploration-stage nickel occurrence hosted in mafic–ultramafic rocks, with nickel occurring in association with copper and cobalt sulphides. The occurrence is genetically magmatic and has no lateritic overprint. Mining data: Named as a Cu–Ni sulphide prospect in your list, but it is not described with deposit-scale parameters in the provided nickel text.  Economic viability (screen): Low to unknown until you have tonnage, grade distribution, and metallurgical evidence.</t>
  </si>
  <si>
    <t>Geological Evidence 1: Volodymyrivske hosts demonstrable magmatic copper–nickel sulphide mineralisation associated with mafic–ultramafic intrusive rocks of the Ukrainian Shield. Nickel occurs together with copper and cobalt in sulphide assemblages, consistent with recognised Cu–Ni sulphide systems described by Kostenko (1989), confirming genuine primary mineralisation at occurrence level.
Data Quality 0: Available information is strictly occurrence-scale. The literature identifies Volodymyrivske as a Cu–Ni sulphide prospect but provides no deposit-specific data on ore thickness, lateral continuity, tonnage, grade distribution, or metallurgical characteristics. No technical reports or quantified datasets exist that would allow translation into a CRIRSCO-style resource framework.
Classification Alignment 0: Volodymyrivske has no GKZ, UNFC, or state-approved reserve or resource classification and is not documented as a deposit. It is consistently treated as an exploration-stage occurrence only, with no formal classification anchor suitable for PERC alignment.</t>
  </si>
  <si>
    <t>Sukhoturivske</t>
  </si>
  <si>
    <t>48°22'41.55"N</t>
  </si>
  <si>
    <t>33°41'28.77"E</t>
  </si>
  <si>
    <t>Sukhoturivske is a complex nickel-bearing occurrence associated with talc–magnesite alteration of ultramafic rocks. Nickel is a subordinate component within a polymetallic system influenced by hydrothermal and metasomatic processes. Sukhoturivske is a complex nickel-bearing occurrence associated with talc–magnesite alteration of ultramafic rocks. Nickel is a subordinate component within a polymetallic system dominated by industrial minerals. Economic viability for nickel alone is low, and any development would depend on the primary talc–magnesite value rather than nickel recovery.</t>
  </si>
  <si>
    <t>Geological Evidence 1: Sukhoturivske contains demonstrable nickel-bearing mineralisation hosted in altered ultramafic rocks affected by talc–magnesite metasomatism. Nickel is present as a real geochemical component within this polymetallic system, confirming its geological validity as a nickel occurrence rather than a background anomaly.
Data Quality 0: The available sources describe Sukhoturivske only at a descriptive, occurrence level. There are no published data on nickel grades, tonnage, continuity, mineralogical deportment, or recoverability. Nickel is explicitly described as subordinate, and no technical or economic datasets exist that would allow assessment beyond qualitative screening.
Classification Alignment 0: Sukhoturivske has no recognised reserve or resource classification and is not treated as a nickel deposit in national or international classification systems. It is consistently framed as an industrial mineral occurrence with accessory nickel, not as a standalone or co-primary nickel resource, and therefore does not align with PERC, GKZ, or UNFC reporting standards.</t>
  </si>
  <si>
    <t xml:space="preserve">Zakhidno-Lashchivska site </t>
  </si>
  <si>
    <t>47°56'33.26"N</t>
  </si>
  <si>
    <t>31°06'58.41"E</t>
  </si>
  <si>
    <t>Zakhidno-Lashchivska is a cobalt–nickel occurrence related to ultramafic rocks affected by supergene alteration. Nickel and cobalt occur together within clay-rich weathering profiles. Mining data: The report gives unusually concrete parameters: site area 36.4 ha, weathering crust 50 to 80 m, nontronite clay ore with average thickness ~21.9 m; two subhorizontal ore bodies 5 to 16 m thick; a special permit for nickel ore mining is also noted.
Important correction: The report places this site in Mykolaiv region, not Kirovohrad. 
Economic viability (screen): Medium. Thicknesses are favourable for open-pit logic, and Co can support economics.  lateritic clay-hosted Ni–Co often needs careful metallurgy.</t>
  </si>
  <si>
    <t>Geological Evidence 1: Zakhidno-Lashchivska shows clear and well-described nickel–cobalt mineralisation hosted in a supergene lateritic weathering crust developed on ultramafic rocks. Nickel and cobalt are concentrated in nontronite-rich clays, with two laterally continuous, subhorizontal ore bodies and a documented weathering profile thickness of 50 to 80 m. This exceeds the level of “occurrence” description seen at many Ukrainian Ni sites and confirms a real metallogenic system.
Data Quality 0: Despite unusually concrete geometric parameters for a Ukrainian laterite site, the publicly available data still lack critical economic inputs. There are no published, independently verified grades, tonnage estimates, recovery testwork, or metallurgical flow sheets. The presence of a special permit signals interest, not viability. Lateritic Ni–Co clay metallurgy is highly sensitive to processing route, and none is demonstrated here.
Classification Alignment 0: Zakhidno-Lashchivska has no formally reported resources or reserves under GKZ, UNFC, PERC, or JORC-aligned standards in the cited literature. It is not listed as a deposit with classified resources but as a permitted site/occurrence with geological parameters. As such, it cannot be aligned with recognised mineral resource classification frameworks.</t>
  </si>
  <si>
    <t xml:space="preserve">Karnaukhivska site </t>
  </si>
  <si>
    <t>48°07'12.39"N</t>
  </si>
  <si>
    <t>31°18'44.06"E</t>
  </si>
  <si>
    <t>Karnaukhivska is a polymetallic occurrence hosted in ultramafic rocks, combining supergene nickel–cobalt enrichment with associated iron mineralisation. Nickel is not the primary economic component. Mining data: Special permit for exploration is noted (as Co + Ni + Fe), but the nickel section does not provide thickness, grade, or tonnage.  Economic viability (screen): Low to unknown until you have deposit parameters.</t>
  </si>
  <si>
    <t>Geological Evidence 1: Karnaukhivska represents a real but weakly defined polymetallic system developed on ultramafic rocks, with supergene nickel–cobalt enrichment and associated iron mineralisation. The metallogenic setting is credible and consistent with other Pobuzhzhia-type ultramafic weathering profiles. However, nickel is clearly subordinate to iron and cobalt, and there is no indication of focused nickel enrichment or a nickel-dominant ore body.
Data Quality 0: The available information is insufficient for any economic or technical assessment. No grades, thicknesses, lateral continuity, or tonnage are reported in the nickel section, and no metallurgical data are provided. The existence of a special permit reflects exploration intent only and does not compensate for the absence of quantitative geological or processing data. From a critical standpoint, this is descriptive, not evaluative.
Classification Alignment 0: Karnaukhivska is not reported with classified resources or reserves under GKZ, UNFC, or any international reporting code. It is treated as an occurrence with polymetallic potential rather than a defined nickel deposit. Without resource definition, it cannot be aligned with recognised mineral classification frameworks.</t>
  </si>
  <si>
    <t xml:space="preserve">Zheleznyaki site </t>
  </si>
  <si>
    <t>50°47'58.91"N</t>
  </si>
  <si>
    <t>27°29'14.83"E</t>
  </si>
  <si>
    <t>Zheleznyaki is a copper–nickel–cobalt occurrence associated with mafic intrusions of the Ukrainian Shield. Mineralisation is sulphide-dominated and genetically linked to Paleoproterozoic tectono-magmatic processes. Mining data: Small oval intrusion ~1.0 × 1.8 km; only one well reported; two ore intervals (3.5 m and 2.0 m); prognostic resources (P3) in the report: Ni 150.9 kt, Cu 14.4 kt, Co 3.0 kt. Economic viability (screen): Low to medium. There is not enough drilling and the resource is prognostic (high uncertain) ling confirms continuity and concentrate quality, it could move upward.</t>
  </si>
  <si>
    <t>Geological Evidence 1
Zheleznyaki represents a legitimate sulphide-type Cu–Ni–Co occurrence related to mafic intrusions of the Ukrainian Shield. The genetic model is sound and well established in the literature, with nickel hosted mainly in pentlandite associated with chalcopyrite and pyrrhotite. The setting is consistent with Paleoproterozoic magmatic sulphide systems, and the reported metal association is coherent. However, mineralisation is spatially limited and only weakly constrained by drilling.
Data Quality 0
The dataset is very weak. Only a single drillhole is reported, intersecting two relatively thin ore intervals. The quoted metal figures are prognostic P3 resources, which by definition carry a very high level of uncertainty and do not demonstrate continuity, geometry, or economic extractability. There is no information on metallurgical behaviour, sulphide texture, recoveries, or concentrate quality. At this stage, the numbers function as geological indicators, not as a basis for development.
Classification Alignment 0
Zheleznyaki does not meet the requirements for classification as a deposit under GKZ, UNFC, JORC, or any comparable reporting standard. P3 prognostic resources are exploration signals only and cannot be treated as resources or reserves. As such, the site remains an occurrence with speculative potential rather than a classified mineral asset.</t>
  </si>
  <si>
    <t>Placer and supergene</t>
  </si>
  <si>
    <t>Coal-hosted and sediment-hosted</t>
  </si>
  <si>
    <t>Granitic pegmatite (Li–Cs–Ta)</t>
  </si>
  <si>
    <t>Alkaline igneous and carbonatite</t>
  </si>
  <si>
    <t>Phorsphorous/phosphate rock</t>
  </si>
  <si>
    <t>Sedimentary phosphate</t>
  </si>
  <si>
    <t>Hydrothermal</t>
  </si>
  <si>
    <t>Mafic–ultramafic intrusion</t>
  </si>
  <si>
    <t>Technogenic and unconventional</t>
  </si>
  <si>
    <t>Anorthosite–rapakivi intrusive complex</t>
  </si>
  <si>
    <t>Sedimentary iron formation</t>
  </si>
  <si>
    <t>Native metal</t>
  </si>
  <si>
    <t>Evaporite and brine</t>
  </si>
  <si>
    <t>Metamorphic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</si>
</sst>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2"/>
      <color theme="1"/>
      <name val="Aptos Narrow"/>
      <family val="2"/>
      <scheme val="minor"/>
    </font>
    <font>
      <b/>
      <sz val="18"/>
      <color theme="1"/>
      <name val="Aptos Narrow"/>
      <scheme val="minor"/>
    </font>
    <font>
      <b/>
      <sz val="16"/>
      <color theme="1"/>
      <name val="Aptos Narrow"/>
      <scheme val="minor"/>
    </font>
    <font>
      <sz val="12"/>
      <color theme="1"/>
      <name val="Aptos Narrow"/>
      <scheme val="minor"/>
    </font>
    <font>
      <sz val="12"/>
      <color rgb="FF000000"/>
      <name val="Aptos Narrow"/>
      <scheme val="minor"/>
    </font>
    <font>
      <sz val="12"/>
      <color rgb="FF000000"/>
      <name val="Aptos Narrow"/>
      <family val="2"/>
      <scheme val="minor"/>
    </font>
    <font>
      <i/>
      <sz val="12"/>
      <color theme="1"/>
      <name val="Aptos Narrow"/>
      <family val="2"/>
      <scheme val="minor"/>
    </font>
    <font>
      <sz val="16"/>
      <color theme="1"/>
      <name val="Aptos Narrow"/>
      <scheme val="minor"/>
    </font>
    <font>
      <sz val="12"/>
      <color rgb="FF000000"/>
      <name val="Aptos Display"/>
      <scheme val="major"/>
    </font>
    <font>
      <b/>
      <sz val="12"/>
      <color theme="1"/>
      <name val="Aptos Narrow"/>
      <scheme val="minor"/>
    </font>
    <font>
      <i/>
      <sz val="12"/>
      <color theme="1"/>
      <name val="Aptos Narrow"/>
      <scheme val="minor"/>
    </font>
  </fonts>
  <fills count="20">
    <fill>
      <patternFill patternType="none"/>
    </fill>
    <fill>
      <patternFill patternType="gray125"/>
    </fill>
    <fill>
      <patternFill patternType="solid">
        <fgColor theme="0" tint="-0.14999847407452621"/>
        <bgColor indexed="64"/>
      </patternFill>
    </fill>
    <fill>
      <patternFill patternType="solid">
        <fgColor rgb="FFC00000"/>
        <bgColor indexed="64"/>
      </patternFill>
    </fill>
    <fill>
      <patternFill patternType="solid">
        <fgColor theme="9"/>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rgb="FF9A4C26"/>
        <bgColor indexed="64"/>
      </patternFill>
    </fill>
    <fill>
      <patternFill patternType="solid">
        <fgColor theme="8" tint="0.59999389629810485"/>
        <bgColor indexed="64"/>
      </patternFill>
    </fill>
    <fill>
      <patternFill patternType="solid">
        <fgColor theme="2" tint="-9.9978637043366805E-2"/>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101">
    <xf numFmtId="0" fontId="0" fillId="0" borderId="0" xfId="0"/>
    <xf numFmtId="0" fontId="2" fillId="0" borderId="1" xfId="0" applyFont="1" applyBorder="1"/>
    <xf numFmtId="0" fontId="2" fillId="0" borderId="0" xfId="0" applyFont="1"/>
    <xf numFmtId="0" fontId="3" fillId="2" borderId="0" xfId="0" applyFont="1" applyFill="1"/>
    <xf numFmtId="0" fontId="4" fillId="0" borderId="0" xfId="0" applyFont="1"/>
    <xf numFmtId="0" fontId="5" fillId="0" borderId="0" xfId="0" applyFont="1"/>
    <xf numFmtId="0" fontId="4" fillId="0" borderId="0" xfId="0" applyFont="1" applyAlignment="1">
      <alignment wrapText="1"/>
    </xf>
    <xf numFmtId="0" fontId="5" fillId="3" borderId="0" xfId="0" applyFont="1" applyFill="1"/>
    <xf numFmtId="0" fontId="4" fillId="0" borderId="2" xfId="0" applyFont="1" applyBorder="1" applyAlignment="1">
      <alignment horizontal="center" wrapText="1"/>
    </xf>
    <xf numFmtId="0" fontId="5" fillId="0" borderId="0" xfId="0" applyFont="1" applyAlignment="1">
      <alignment wrapText="1"/>
    </xf>
    <xf numFmtId="0" fontId="0" fillId="4" borderId="0" xfId="0" applyFill="1"/>
    <xf numFmtId="0" fontId="0" fillId="0" borderId="0" xfId="0" applyAlignment="1">
      <alignment wrapText="1"/>
    </xf>
    <xf numFmtId="0" fontId="4" fillId="0" borderId="0" xfId="0" applyFont="1" applyAlignment="1">
      <alignment horizontal="center" wrapText="1"/>
    </xf>
    <xf numFmtId="0" fontId="3" fillId="2" borderId="1" xfId="0" applyFont="1" applyFill="1" applyBorder="1"/>
    <xf numFmtId="0" fontId="4" fillId="0" borderId="1" xfId="0" applyFont="1" applyBorder="1"/>
    <xf numFmtId="0" fontId="0" fillId="0" borderId="1" xfId="0" applyBorder="1"/>
    <xf numFmtId="0" fontId="4" fillId="0" borderId="1" xfId="0" applyFont="1" applyBorder="1" applyAlignment="1">
      <alignment wrapText="1"/>
    </xf>
    <xf numFmtId="0" fontId="5" fillId="3" borderId="1" xfId="0" applyFont="1" applyFill="1" applyBorder="1"/>
    <xf numFmtId="0" fontId="4" fillId="0" borderId="1" xfId="0" applyFont="1" applyBorder="1" applyAlignment="1">
      <alignment horizontal="center" wrapText="1"/>
    </xf>
    <xf numFmtId="0" fontId="5" fillId="0" borderId="1" xfId="0" applyFont="1" applyBorder="1"/>
    <xf numFmtId="0" fontId="0" fillId="4" borderId="1" xfId="0" applyFill="1" applyBorder="1"/>
    <xf numFmtId="0" fontId="0" fillId="0" borderId="1" xfId="0" applyBorder="1" applyAlignment="1">
      <alignment wrapText="1"/>
    </xf>
    <xf numFmtId="0" fontId="3" fillId="5" borderId="0" xfId="0" applyFont="1" applyFill="1"/>
    <xf numFmtId="0" fontId="5" fillId="4" borderId="0" xfId="0" applyFont="1" applyFill="1"/>
    <xf numFmtId="0" fontId="0" fillId="0" borderId="2" xfId="0" applyBorder="1" applyAlignment="1">
      <alignment horizontal="center" wrapText="1"/>
    </xf>
    <xf numFmtId="0" fontId="0" fillId="3" borderId="0" xfId="0" applyFill="1"/>
    <xf numFmtId="0" fontId="0" fillId="0" borderId="0" xfId="0" applyAlignment="1">
      <alignment horizontal="center" wrapText="1"/>
    </xf>
    <xf numFmtId="0" fontId="6" fillId="0" borderId="0" xfId="0" applyFont="1"/>
    <xf numFmtId="0" fontId="3" fillId="5" borderId="1" xfId="0" applyFont="1" applyFill="1" applyBorder="1"/>
    <xf numFmtId="0" fontId="5" fillId="4" borderId="1" xfId="0" applyFont="1" applyFill="1" applyBorder="1"/>
    <xf numFmtId="0" fontId="0" fillId="0" borderId="1" xfId="0" applyBorder="1" applyAlignment="1">
      <alignment horizontal="center" wrapText="1"/>
    </xf>
    <xf numFmtId="0" fontId="0" fillId="3" borderId="1" xfId="0" applyFill="1" applyBorder="1"/>
    <xf numFmtId="0" fontId="3" fillId="6" borderId="0" xfId="0" applyFont="1" applyFill="1"/>
    <xf numFmtId="0" fontId="4" fillId="4" borderId="0" xfId="0" applyFont="1" applyFill="1" applyAlignment="1">
      <alignment wrapText="1"/>
    </xf>
    <xf numFmtId="0" fontId="4" fillId="3" borderId="0" xfId="0" applyFont="1" applyFill="1" applyAlignment="1">
      <alignment wrapText="1"/>
    </xf>
    <xf numFmtId="0" fontId="3" fillId="6" borderId="1" xfId="0" applyFont="1" applyFill="1" applyBorder="1"/>
    <xf numFmtId="0" fontId="4" fillId="3" borderId="1" xfId="0" applyFont="1" applyFill="1" applyBorder="1" applyAlignment="1">
      <alignment wrapText="1"/>
    </xf>
    <xf numFmtId="0" fontId="3" fillId="7" borderId="0" xfId="0" applyFont="1" applyFill="1"/>
    <xf numFmtId="0" fontId="4" fillId="4" borderId="0" xfId="0" applyFont="1" applyFill="1"/>
    <xf numFmtId="0" fontId="3" fillId="7" borderId="1" xfId="0" applyFont="1" applyFill="1" applyBorder="1"/>
    <xf numFmtId="0" fontId="4" fillId="4" borderId="1" xfId="0" applyFont="1" applyFill="1" applyBorder="1" applyAlignment="1">
      <alignment wrapText="1"/>
    </xf>
    <xf numFmtId="0" fontId="3" fillId="8" borderId="1" xfId="0" applyFont="1" applyFill="1" applyBorder="1"/>
    <xf numFmtId="0" fontId="4" fillId="3" borderId="1" xfId="0" applyFont="1" applyFill="1" applyBorder="1"/>
    <xf numFmtId="0" fontId="0" fillId="0" borderId="3" xfId="0" applyBorder="1"/>
    <xf numFmtId="0" fontId="3" fillId="9" borderId="0" xfId="0" applyFont="1" applyFill="1"/>
    <xf numFmtId="0" fontId="0" fillId="0" borderId="2" xfId="0" applyBorder="1" applyAlignment="1">
      <alignment horizontal="center"/>
    </xf>
    <xf numFmtId="0" fontId="0" fillId="0" borderId="0" xfId="0" applyAlignment="1">
      <alignment horizontal="center"/>
    </xf>
    <xf numFmtId="0" fontId="3" fillId="9" borderId="1" xfId="0" applyFont="1" applyFill="1" applyBorder="1"/>
    <xf numFmtId="0" fontId="0" fillId="0" borderId="1" xfId="0" applyBorder="1" applyAlignment="1">
      <alignment horizontal="center"/>
    </xf>
    <xf numFmtId="0" fontId="3" fillId="10" borderId="0" xfId="0" applyFont="1" applyFill="1"/>
    <xf numFmtId="0" fontId="3" fillId="10" borderId="1" xfId="0" applyFont="1" applyFill="1" applyBorder="1"/>
    <xf numFmtId="0" fontId="4" fillId="11" borderId="1" xfId="0" applyFont="1" applyFill="1" applyBorder="1"/>
    <xf numFmtId="0" fontId="8" fillId="10" borderId="1" xfId="0" applyFont="1" applyFill="1" applyBorder="1"/>
    <xf numFmtId="0" fontId="4" fillId="3" borderId="0" xfId="0" applyFont="1" applyFill="1"/>
    <xf numFmtId="0" fontId="4" fillId="11" borderId="0" xfId="0" applyFont="1" applyFill="1"/>
    <xf numFmtId="0" fontId="3" fillId="12" borderId="3" xfId="0" applyFont="1" applyFill="1" applyBorder="1"/>
    <xf numFmtId="0" fontId="4" fillId="0" borderId="3" xfId="0" applyFont="1" applyBorder="1"/>
    <xf numFmtId="0" fontId="3" fillId="13" borderId="0" xfId="0" applyFont="1" applyFill="1"/>
    <xf numFmtId="49" fontId="0" fillId="0" borderId="2" xfId="0" applyNumberFormat="1" applyBorder="1" applyAlignment="1">
      <alignment horizontal="center"/>
    </xf>
    <xf numFmtId="49" fontId="0" fillId="0" borderId="0" xfId="0" applyNumberFormat="1" applyAlignment="1">
      <alignment horizontal="center"/>
    </xf>
    <xf numFmtId="0" fontId="3" fillId="13" borderId="1" xfId="0" applyFont="1" applyFill="1" applyBorder="1"/>
    <xf numFmtId="49" fontId="0" fillId="0" borderId="1" xfId="0" applyNumberFormat="1" applyBorder="1" applyAlignment="1">
      <alignment horizontal="center"/>
    </xf>
    <xf numFmtId="0" fontId="3" fillId="14" borderId="0" xfId="0" applyFont="1" applyFill="1"/>
    <xf numFmtId="0" fontId="4" fillId="0" borderId="2" xfId="0" applyFont="1" applyBorder="1" applyAlignment="1">
      <alignment horizontal="center"/>
    </xf>
    <xf numFmtId="0" fontId="4" fillId="0" borderId="0" xfId="0" applyFont="1" applyAlignment="1">
      <alignment horizontal="center"/>
    </xf>
    <xf numFmtId="0" fontId="3" fillId="14" borderId="1" xfId="0" applyFont="1" applyFill="1" applyBorder="1"/>
    <xf numFmtId="0" fontId="4" fillId="0" borderId="1" xfId="0" applyFont="1" applyBorder="1" applyAlignment="1">
      <alignment horizontal="center"/>
    </xf>
    <xf numFmtId="0" fontId="3" fillId="11" borderId="0" xfId="0" applyFont="1" applyFill="1"/>
    <xf numFmtId="0" fontId="3" fillId="11" borderId="1" xfId="0" applyFont="1" applyFill="1" applyBorder="1"/>
    <xf numFmtId="0" fontId="3" fillId="15" borderId="0" xfId="0" applyFont="1" applyFill="1"/>
    <xf numFmtId="0" fontId="3" fillId="15" borderId="1" xfId="0" applyFont="1" applyFill="1" applyBorder="1"/>
    <xf numFmtId="0" fontId="9" fillId="0" borderId="0" xfId="0" applyFont="1"/>
    <xf numFmtId="0" fontId="4" fillId="4" borderId="1" xfId="0" applyFont="1" applyFill="1" applyBorder="1"/>
    <xf numFmtId="0" fontId="3" fillId="16" borderId="0" xfId="0" applyFont="1" applyFill="1"/>
    <xf numFmtId="0" fontId="3" fillId="16" borderId="1" xfId="0" applyFont="1" applyFill="1" applyBorder="1"/>
    <xf numFmtId="0" fontId="3" fillId="17" borderId="0" xfId="0" applyFont="1" applyFill="1"/>
    <xf numFmtId="0" fontId="0" fillId="17" borderId="1" xfId="0" applyFill="1" applyBorder="1"/>
    <xf numFmtId="0" fontId="3" fillId="4" borderId="0" xfId="0" applyFont="1" applyFill="1"/>
    <xf numFmtId="0" fontId="3" fillId="4" borderId="1" xfId="0" applyFont="1" applyFill="1" applyBorder="1"/>
    <xf numFmtId="0" fontId="0" fillId="0" borderId="2" xfId="0" applyBorder="1"/>
    <xf numFmtId="0" fontId="0" fillId="0" borderId="0" xfId="0"/>
    <xf numFmtId="0" fontId="5" fillId="0" borderId="1" xfId="0" applyFont="1" applyBorder="1" applyAlignment="1">
      <alignment wrapText="1"/>
    </xf>
    <xf numFmtId="0" fontId="0" fillId="0" borderId="1" xfId="0" applyBorder="1"/>
    <xf numFmtId="0" fontId="10" fillId="16" borderId="0" xfId="0" applyFont="1" applyFill="1"/>
    <xf numFmtId="0" fontId="4" fillId="0" borderId="0" xfId="0" applyFont="1" applyAlignment="1">
      <alignment vertical="center"/>
    </xf>
    <xf numFmtId="0" fontId="10" fillId="16" borderId="1" xfId="0" applyFont="1" applyFill="1" applyBorder="1"/>
    <xf numFmtId="0" fontId="4" fillId="0" borderId="1" xfId="0" applyFont="1" applyBorder="1" applyAlignment="1">
      <alignment vertical="center"/>
    </xf>
    <xf numFmtId="0" fontId="3" fillId="18" borderId="0" xfId="0" applyFont="1" applyFill="1"/>
    <xf numFmtId="0" fontId="6" fillId="0" borderId="0" xfId="0" applyFont="1" applyAlignment="1">
      <alignment wrapText="1"/>
    </xf>
    <xf numFmtId="0" fontId="3" fillId="18" borderId="1" xfId="0" applyFont="1" applyFill="1" applyBorder="1"/>
    <xf numFmtId="0" fontId="3" fillId="19" borderId="0" xfId="0" applyFont="1" applyFill="1"/>
    <xf numFmtId="0" fontId="3" fillId="19" borderId="1" xfId="0" applyFont="1" applyFill="1" applyBorder="1"/>
    <xf numFmtId="0" fontId="3" fillId="8" borderId="3" xfId="0" applyFont="1" applyFill="1" applyBorder="1"/>
    <xf numFmtId="0" fontId="11" fillId="0" borderId="3" xfId="0" applyFont="1" applyBorder="1"/>
    <xf numFmtId="0" fontId="4" fillId="0" borderId="3" xfId="0" applyFont="1" applyBorder="1" applyAlignment="1">
      <alignment wrapText="1"/>
    </xf>
    <xf numFmtId="0" fontId="3" fillId="6" borderId="3" xfId="0" applyFont="1" applyFill="1" applyBorder="1"/>
    <xf numFmtId="0" fontId="7" fillId="0" borderId="3" xfId="0" applyFont="1" applyBorder="1"/>
    <xf numFmtId="0" fontId="3" fillId="8" borderId="0" xfId="0" applyFont="1" applyFill="1"/>
    <xf numFmtId="0" fontId="3" fillId="0" borderId="0" xfId="0" applyFont="1"/>
    <xf numFmtId="0" fontId="1"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02BAB-2D66-7C47-B65F-A5C06B5EC104}">
  <dimension ref="A1:BM311"/>
  <sheetViews>
    <sheetView tabSelected="1" zoomScale="75" zoomScaleNormal="118" workbookViewId="0">
      <selection activeCell="C38" sqref="C38"/>
    </sheetView>
  </sheetViews>
  <sheetFormatPr baseColWidth="10" defaultRowHeight="20" customHeight="1" x14ac:dyDescent="0.3"/>
  <cols>
    <col min="1" max="1" width="23.33203125" style="100" customWidth="1"/>
    <col min="2" max="2" width="36.1640625" customWidth="1"/>
    <col min="3" max="3" width="13.5" customWidth="1"/>
    <col min="4" max="4" width="39.83203125" customWidth="1"/>
    <col min="5" max="5" width="15.1640625" customWidth="1"/>
    <col min="6" max="7" width="26" customWidth="1"/>
    <col min="8" max="8" width="45.83203125" customWidth="1"/>
    <col min="9" max="9" width="11.6640625" customWidth="1"/>
    <col min="10" max="10" width="29.83203125" customWidth="1"/>
    <col min="11" max="11" width="41.83203125" style="4" customWidth="1"/>
    <col min="12" max="12" width="10.83203125" customWidth="1"/>
    <col min="13" max="13" width="28" bestFit="1" customWidth="1"/>
    <col min="14" max="14" width="17.6640625" customWidth="1"/>
    <col min="15" max="15" width="32.1640625" customWidth="1"/>
    <col min="16" max="16" width="22" customWidth="1"/>
    <col min="17" max="17" width="23.1640625" customWidth="1"/>
  </cols>
  <sheetData>
    <row r="1" spans="1:65" s="1" customFormat="1" ht="3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row>
    <row r="2" spans="1:65" ht="20" customHeight="1" x14ac:dyDescent="0.3">
      <c r="A2" s="3" t="s">
        <v>17</v>
      </c>
      <c r="B2" s="4" t="s">
        <v>18</v>
      </c>
      <c r="C2" s="4" t="s">
        <v>19</v>
      </c>
      <c r="D2" t="s">
        <v>20</v>
      </c>
      <c r="E2" s="5" t="s">
        <v>21</v>
      </c>
      <c r="F2" s="5" t="s">
        <v>22</v>
      </c>
      <c r="G2" s="5" t="s">
        <v>23</v>
      </c>
      <c r="H2" s="6" t="s">
        <v>24</v>
      </c>
      <c r="I2" s="7" t="s">
        <v>25</v>
      </c>
      <c r="J2" s="8" t="s">
        <v>26</v>
      </c>
      <c r="K2" s="9" t="s">
        <v>27</v>
      </c>
      <c r="L2" s="10" t="s">
        <v>28</v>
      </c>
      <c r="M2">
        <v>1</v>
      </c>
      <c r="N2">
        <v>1</v>
      </c>
      <c r="O2">
        <v>1</v>
      </c>
      <c r="P2">
        <f>M2+N2+O2</f>
        <v>3</v>
      </c>
      <c r="Q2" s="11" t="s">
        <v>29</v>
      </c>
    </row>
    <row r="3" spans="1:65" ht="20" customHeight="1" x14ac:dyDescent="0.3">
      <c r="A3" s="3"/>
      <c r="B3" s="4" t="s">
        <v>30</v>
      </c>
      <c r="C3" s="4" t="s">
        <v>19</v>
      </c>
      <c r="D3" t="s">
        <v>20</v>
      </c>
      <c r="E3" s="4" t="s">
        <v>31</v>
      </c>
      <c r="F3" s="4" t="s">
        <v>32</v>
      </c>
      <c r="G3" s="4" t="s">
        <v>33</v>
      </c>
      <c r="H3" s="6" t="s">
        <v>24</v>
      </c>
      <c r="I3" s="7" t="s">
        <v>25</v>
      </c>
      <c r="J3" s="12"/>
      <c r="K3" s="6" t="s">
        <v>34</v>
      </c>
      <c r="L3" s="10" t="s">
        <v>28</v>
      </c>
      <c r="M3">
        <v>1</v>
      </c>
      <c r="N3">
        <v>1</v>
      </c>
      <c r="O3">
        <v>1</v>
      </c>
      <c r="P3">
        <f t="shared" ref="P3:P57" si="0">M3+N3+O3</f>
        <v>3</v>
      </c>
      <c r="Q3" s="11" t="s">
        <v>35</v>
      </c>
    </row>
    <row r="4" spans="1:65" ht="20" customHeight="1" x14ac:dyDescent="0.3">
      <c r="A4" s="3"/>
      <c r="B4" s="4" t="s">
        <v>36</v>
      </c>
      <c r="C4" s="4" t="s">
        <v>19</v>
      </c>
      <c r="D4" t="s">
        <v>37</v>
      </c>
      <c r="E4" s="4" t="s">
        <v>38</v>
      </c>
      <c r="F4" s="4" t="s">
        <v>39</v>
      </c>
      <c r="G4" s="4" t="s">
        <v>40</v>
      </c>
      <c r="H4" s="6" t="s">
        <v>24</v>
      </c>
      <c r="I4" s="7" t="s">
        <v>25</v>
      </c>
      <c r="J4" s="12"/>
      <c r="K4" s="5" t="s">
        <v>41</v>
      </c>
      <c r="L4" s="10" t="s">
        <v>28</v>
      </c>
      <c r="M4">
        <v>1</v>
      </c>
      <c r="N4">
        <v>0</v>
      </c>
      <c r="O4">
        <v>0</v>
      </c>
      <c r="P4">
        <f t="shared" si="0"/>
        <v>1</v>
      </c>
      <c r="Q4" s="11" t="s">
        <v>42</v>
      </c>
    </row>
    <row r="5" spans="1:65" s="15" customFormat="1" ht="20" customHeight="1" x14ac:dyDescent="0.3">
      <c r="A5" s="13"/>
      <c r="B5" s="14" t="s">
        <v>43</v>
      </c>
      <c r="C5" s="14" t="s">
        <v>44</v>
      </c>
      <c r="D5" s="15" t="s">
        <v>45</v>
      </c>
      <c r="E5" s="14" t="s">
        <v>43</v>
      </c>
      <c r="F5" s="14" t="s">
        <v>46</v>
      </c>
      <c r="G5" s="14" t="s">
        <v>47</v>
      </c>
      <c r="H5" s="16" t="s">
        <v>24</v>
      </c>
      <c r="I5" s="17" t="s">
        <v>25</v>
      </c>
      <c r="J5" s="18"/>
      <c r="K5" s="19" t="s">
        <v>48</v>
      </c>
      <c r="L5" s="20" t="s">
        <v>49</v>
      </c>
      <c r="M5" s="15">
        <v>1</v>
      </c>
      <c r="N5" s="15">
        <v>0</v>
      </c>
      <c r="O5" s="15">
        <v>0</v>
      </c>
      <c r="P5" s="15">
        <f t="shared" si="0"/>
        <v>1</v>
      </c>
      <c r="Q5" s="21" t="s">
        <v>50</v>
      </c>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row>
    <row r="6" spans="1:65" ht="20" customHeight="1" x14ac:dyDescent="0.3">
      <c r="A6" s="22" t="s">
        <v>51</v>
      </c>
      <c r="B6" s="4" t="s">
        <v>52</v>
      </c>
      <c r="C6" s="4" t="s">
        <v>53</v>
      </c>
      <c r="D6" s="4" t="s">
        <v>54</v>
      </c>
      <c r="E6" s="4" t="s">
        <v>55</v>
      </c>
      <c r="F6" s="4" t="s">
        <v>56</v>
      </c>
      <c r="G6" s="4" t="s">
        <v>57</v>
      </c>
      <c r="H6" s="6" t="s">
        <v>58</v>
      </c>
      <c r="I6" s="23" t="s">
        <v>59</v>
      </c>
      <c r="J6" s="24" t="s">
        <v>60</v>
      </c>
      <c r="K6" s="5" t="s">
        <v>61</v>
      </c>
      <c r="L6" s="25" t="s">
        <v>62</v>
      </c>
      <c r="M6">
        <v>1</v>
      </c>
      <c r="N6">
        <v>1</v>
      </c>
      <c r="O6">
        <v>1</v>
      </c>
      <c r="P6">
        <f t="shared" si="0"/>
        <v>3</v>
      </c>
      <c r="Q6" s="11" t="s">
        <v>63</v>
      </c>
    </row>
    <row r="7" spans="1:65" ht="20" customHeight="1" x14ac:dyDescent="0.3">
      <c r="A7" s="22"/>
      <c r="B7" s="4" t="s">
        <v>64</v>
      </c>
      <c r="C7" s="4" t="s">
        <v>53</v>
      </c>
      <c r="D7" s="4" t="s">
        <v>54</v>
      </c>
      <c r="E7" s="4" t="s">
        <v>55</v>
      </c>
      <c r="F7" s="4" t="s">
        <v>65</v>
      </c>
      <c r="G7" s="4" t="s">
        <v>66</v>
      </c>
      <c r="H7" s="6" t="s">
        <v>58</v>
      </c>
      <c r="I7" s="23" t="s">
        <v>59</v>
      </c>
      <c r="J7" s="26"/>
      <c r="K7" s="5" t="s">
        <v>67</v>
      </c>
      <c r="L7" s="25" t="s">
        <v>62</v>
      </c>
      <c r="M7">
        <v>1</v>
      </c>
      <c r="N7">
        <v>1</v>
      </c>
      <c r="O7">
        <v>1</v>
      </c>
      <c r="P7">
        <f t="shared" si="0"/>
        <v>3</v>
      </c>
      <c r="Q7" s="11" t="s">
        <v>68</v>
      </c>
    </row>
    <row r="8" spans="1:65" ht="20" customHeight="1" x14ac:dyDescent="0.3">
      <c r="A8" s="22"/>
      <c r="B8" s="4" t="s">
        <v>69</v>
      </c>
      <c r="C8" s="4" t="s">
        <v>53</v>
      </c>
      <c r="D8" s="4" t="s">
        <v>54</v>
      </c>
      <c r="E8" s="4" t="s">
        <v>55</v>
      </c>
      <c r="F8" s="27" t="s">
        <v>70</v>
      </c>
      <c r="G8" s="27" t="s">
        <v>71</v>
      </c>
      <c r="H8" s="6" t="s">
        <v>58</v>
      </c>
      <c r="I8" s="23" t="s">
        <v>59</v>
      </c>
      <c r="J8" s="26"/>
      <c r="K8" s="5" t="s">
        <v>72</v>
      </c>
      <c r="L8" s="25" t="s">
        <v>62</v>
      </c>
      <c r="M8">
        <v>1</v>
      </c>
      <c r="N8">
        <v>1</v>
      </c>
      <c r="O8">
        <v>1</v>
      </c>
      <c r="P8">
        <f t="shared" si="0"/>
        <v>3</v>
      </c>
      <c r="Q8" s="11" t="s">
        <v>73</v>
      </c>
    </row>
    <row r="9" spans="1:65" ht="20" customHeight="1" x14ac:dyDescent="0.3">
      <c r="A9" s="22"/>
      <c r="B9" s="4" t="s">
        <v>74</v>
      </c>
      <c r="C9" s="4" t="s">
        <v>53</v>
      </c>
      <c r="D9" s="4" t="s">
        <v>54</v>
      </c>
      <c r="E9" s="4" t="s">
        <v>55</v>
      </c>
      <c r="F9" s="4" t="s">
        <v>75</v>
      </c>
      <c r="G9" s="4" t="s">
        <v>76</v>
      </c>
      <c r="H9" s="6" t="s">
        <v>58</v>
      </c>
      <c r="I9" s="23" t="s">
        <v>59</v>
      </c>
      <c r="J9" s="26"/>
      <c r="K9" s="5" t="s">
        <v>77</v>
      </c>
      <c r="L9" s="25" t="s">
        <v>62</v>
      </c>
      <c r="M9">
        <v>1</v>
      </c>
      <c r="N9">
        <v>1</v>
      </c>
      <c r="O9">
        <v>1</v>
      </c>
      <c r="P9">
        <f t="shared" si="0"/>
        <v>3</v>
      </c>
      <c r="Q9" s="11" t="s">
        <v>78</v>
      </c>
    </row>
    <row r="10" spans="1:65" ht="20" customHeight="1" x14ac:dyDescent="0.3">
      <c r="A10" s="22"/>
      <c r="B10" s="4" t="s">
        <v>79</v>
      </c>
      <c r="C10" s="4" t="s">
        <v>53</v>
      </c>
      <c r="D10" s="4" t="s">
        <v>54</v>
      </c>
      <c r="E10" s="4" t="s">
        <v>55</v>
      </c>
      <c r="F10" s="5" t="s">
        <v>80</v>
      </c>
      <c r="G10" s="5" t="s">
        <v>81</v>
      </c>
      <c r="H10" s="6" t="s">
        <v>58</v>
      </c>
      <c r="I10" s="23" t="s">
        <v>59</v>
      </c>
      <c r="J10" s="26"/>
      <c r="K10" s="5" t="s">
        <v>82</v>
      </c>
      <c r="L10" s="25" t="s">
        <v>62</v>
      </c>
      <c r="M10">
        <v>1</v>
      </c>
      <c r="N10">
        <v>1</v>
      </c>
      <c r="O10">
        <v>1</v>
      </c>
      <c r="P10">
        <f t="shared" si="0"/>
        <v>3</v>
      </c>
      <c r="Q10" s="11" t="s">
        <v>83</v>
      </c>
    </row>
    <row r="11" spans="1:65" ht="20" customHeight="1" x14ac:dyDescent="0.3">
      <c r="A11" s="22"/>
      <c r="B11" s="4" t="s">
        <v>84</v>
      </c>
      <c r="C11" s="4" t="s">
        <v>53</v>
      </c>
      <c r="D11" s="4" t="s">
        <v>54</v>
      </c>
      <c r="E11" s="4" t="s">
        <v>55</v>
      </c>
      <c r="F11" s="4" t="s">
        <v>85</v>
      </c>
      <c r="G11" s="4" t="s">
        <v>86</v>
      </c>
      <c r="H11" s="6" t="s">
        <v>58</v>
      </c>
      <c r="I11" s="23" t="s">
        <v>59</v>
      </c>
      <c r="J11" s="26"/>
      <c r="K11" s="5" t="s">
        <v>87</v>
      </c>
      <c r="L11" s="25" t="s">
        <v>62</v>
      </c>
      <c r="M11">
        <v>1</v>
      </c>
      <c r="N11">
        <v>1</v>
      </c>
      <c r="O11">
        <v>1</v>
      </c>
      <c r="P11">
        <f t="shared" si="0"/>
        <v>3</v>
      </c>
      <c r="Q11" s="11" t="s">
        <v>88</v>
      </c>
    </row>
    <row r="12" spans="1:65" ht="20" customHeight="1" x14ac:dyDescent="0.3">
      <c r="A12" s="22"/>
      <c r="B12" s="4" t="s">
        <v>89</v>
      </c>
      <c r="C12" s="4" t="s">
        <v>90</v>
      </c>
      <c r="D12" s="4" t="s">
        <v>54</v>
      </c>
      <c r="E12" s="4" t="s">
        <v>91</v>
      </c>
      <c r="F12" s="4" t="s">
        <v>92</v>
      </c>
      <c r="G12" s="4" t="s">
        <v>93</v>
      </c>
      <c r="H12" s="6" t="s">
        <v>58</v>
      </c>
      <c r="I12" s="23" t="s">
        <v>59</v>
      </c>
      <c r="J12" s="26"/>
      <c r="K12" s="5" t="s">
        <v>94</v>
      </c>
      <c r="L12" s="25" t="s">
        <v>62</v>
      </c>
      <c r="M12">
        <v>1</v>
      </c>
      <c r="N12">
        <v>1</v>
      </c>
      <c r="O12">
        <v>1</v>
      </c>
      <c r="P12">
        <f t="shared" si="0"/>
        <v>3</v>
      </c>
      <c r="Q12" s="11" t="s">
        <v>95</v>
      </c>
    </row>
    <row r="13" spans="1:65" s="15" customFormat="1" ht="20" customHeight="1" x14ac:dyDescent="0.3">
      <c r="A13" s="28"/>
      <c r="B13" s="14" t="s">
        <v>96</v>
      </c>
      <c r="C13" s="14" t="s">
        <v>90</v>
      </c>
      <c r="D13" s="14" t="s">
        <v>54</v>
      </c>
      <c r="E13" s="14" t="s">
        <v>91</v>
      </c>
      <c r="F13" s="14" t="s">
        <v>97</v>
      </c>
      <c r="G13" s="14" t="s">
        <v>98</v>
      </c>
      <c r="H13" s="16" t="s">
        <v>58</v>
      </c>
      <c r="I13" s="29" t="s">
        <v>59</v>
      </c>
      <c r="J13" s="30"/>
      <c r="K13" s="19" t="s">
        <v>99</v>
      </c>
      <c r="L13" s="31" t="s">
        <v>62</v>
      </c>
      <c r="M13" s="15">
        <v>1</v>
      </c>
      <c r="N13" s="15">
        <v>1</v>
      </c>
      <c r="O13" s="15">
        <v>1</v>
      </c>
      <c r="P13" s="15">
        <f t="shared" si="0"/>
        <v>3</v>
      </c>
      <c r="Q13" s="21" t="s">
        <v>100</v>
      </c>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row>
    <row r="14" spans="1:65" ht="20" customHeight="1" x14ac:dyDescent="0.3">
      <c r="A14" s="32" t="s">
        <v>101</v>
      </c>
      <c r="B14" t="s">
        <v>102</v>
      </c>
      <c r="C14" s="4" t="s">
        <v>19</v>
      </c>
      <c r="D14" t="s">
        <v>103</v>
      </c>
      <c r="E14" t="s">
        <v>55</v>
      </c>
      <c r="F14" t="s">
        <v>104</v>
      </c>
      <c r="G14" t="s">
        <v>105</v>
      </c>
      <c r="H14" s="16" t="s">
        <v>106</v>
      </c>
      <c r="I14" s="33" t="s">
        <v>107</v>
      </c>
      <c r="J14" s="24" t="s">
        <v>108</v>
      </c>
      <c r="K14" s="9" t="s">
        <v>109</v>
      </c>
      <c r="L14" s="25" t="s">
        <v>62</v>
      </c>
      <c r="M14">
        <v>1</v>
      </c>
      <c r="N14">
        <v>1</v>
      </c>
      <c r="O14">
        <v>1</v>
      </c>
      <c r="P14">
        <f t="shared" si="0"/>
        <v>3</v>
      </c>
      <c r="Q14" s="11" t="s">
        <v>110</v>
      </c>
    </row>
    <row r="15" spans="1:65" ht="20" customHeight="1" x14ac:dyDescent="0.3">
      <c r="A15" s="32"/>
      <c r="B15" t="s">
        <v>111</v>
      </c>
      <c r="C15" s="4" t="s">
        <v>19</v>
      </c>
      <c r="D15" t="s">
        <v>112</v>
      </c>
      <c r="E15" t="s">
        <v>113</v>
      </c>
      <c r="F15" s="4" t="s">
        <v>114</v>
      </c>
      <c r="G15" s="4" t="s">
        <v>115</v>
      </c>
      <c r="H15" s="6" t="s">
        <v>116</v>
      </c>
      <c r="I15" s="33" t="s">
        <v>59</v>
      </c>
      <c r="J15" s="26"/>
      <c r="K15" s="6" t="s">
        <v>117</v>
      </c>
      <c r="L15" s="10" t="s">
        <v>28</v>
      </c>
      <c r="M15">
        <v>1</v>
      </c>
      <c r="N15">
        <v>1</v>
      </c>
      <c r="O15">
        <v>0</v>
      </c>
      <c r="P15">
        <f t="shared" si="0"/>
        <v>2</v>
      </c>
      <c r="Q15" s="11" t="s">
        <v>118</v>
      </c>
    </row>
    <row r="16" spans="1:65" ht="20" customHeight="1" x14ac:dyDescent="0.3">
      <c r="A16" s="32"/>
      <c r="B16" t="s">
        <v>119</v>
      </c>
      <c r="C16" s="4" t="s">
        <v>19</v>
      </c>
      <c r="D16" t="s">
        <v>120</v>
      </c>
      <c r="E16" t="s">
        <v>113</v>
      </c>
      <c r="F16" s="4" t="s">
        <v>121</v>
      </c>
      <c r="G16" s="4" t="s">
        <v>122</v>
      </c>
      <c r="H16" s="6" t="s">
        <v>123</v>
      </c>
      <c r="I16" s="33" t="s">
        <v>107</v>
      </c>
      <c r="J16" s="26"/>
      <c r="K16" s="6" t="s">
        <v>124</v>
      </c>
      <c r="L16" s="10" t="s">
        <v>49</v>
      </c>
      <c r="M16">
        <v>1</v>
      </c>
      <c r="N16">
        <v>1</v>
      </c>
      <c r="O16">
        <v>0</v>
      </c>
      <c r="P16">
        <f t="shared" si="0"/>
        <v>2</v>
      </c>
      <c r="Q16" s="11" t="s">
        <v>125</v>
      </c>
    </row>
    <row r="17" spans="1:65" ht="20" customHeight="1" x14ac:dyDescent="0.3">
      <c r="A17" s="32"/>
      <c r="B17" t="s">
        <v>126</v>
      </c>
      <c r="C17" s="4" t="s">
        <v>44</v>
      </c>
      <c r="D17" t="s">
        <v>127</v>
      </c>
      <c r="E17" s="4" t="s">
        <v>128</v>
      </c>
      <c r="F17" s="4" t="s">
        <v>129</v>
      </c>
      <c r="G17" s="4" t="s">
        <v>130</v>
      </c>
      <c r="H17" s="11" t="s">
        <v>131</v>
      </c>
      <c r="I17" s="34" t="s">
        <v>132</v>
      </c>
      <c r="J17" s="26"/>
      <c r="K17" s="6" t="s">
        <v>133</v>
      </c>
      <c r="L17" s="25" t="s">
        <v>62</v>
      </c>
      <c r="M17">
        <v>1</v>
      </c>
      <c r="N17">
        <v>0</v>
      </c>
      <c r="O17">
        <v>0</v>
      </c>
      <c r="P17">
        <f t="shared" si="0"/>
        <v>1</v>
      </c>
      <c r="Q17" s="11" t="s">
        <v>134</v>
      </c>
    </row>
    <row r="18" spans="1:65" ht="20" customHeight="1" x14ac:dyDescent="0.3">
      <c r="A18" s="32"/>
      <c r="B18" t="s">
        <v>135</v>
      </c>
      <c r="C18" s="4" t="s">
        <v>44</v>
      </c>
      <c r="D18" t="s">
        <v>136</v>
      </c>
      <c r="E18" s="4" t="s">
        <v>113</v>
      </c>
      <c r="F18" s="4" t="s">
        <v>137</v>
      </c>
      <c r="G18" s="4" t="s">
        <v>138</v>
      </c>
      <c r="H18" s="11" t="s">
        <v>139</v>
      </c>
      <c r="I18" s="34" t="s">
        <v>140</v>
      </c>
      <c r="J18" s="26"/>
      <c r="K18" s="11" t="s">
        <v>141</v>
      </c>
      <c r="L18" s="10" t="s">
        <v>28</v>
      </c>
      <c r="M18">
        <v>1</v>
      </c>
      <c r="N18">
        <v>0</v>
      </c>
      <c r="O18">
        <v>0</v>
      </c>
      <c r="P18">
        <f t="shared" si="0"/>
        <v>1</v>
      </c>
      <c r="Q18" s="11" t="s">
        <v>142</v>
      </c>
    </row>
    <row r="19" spans="1:65" ht="20" customHeight="1" x14ac:dyDescent="0.3">
      <c r="A19" s="32"/>
      <c r="B19" t="s">
        <v>143</v>
      </c>
      <c r="C19" s="4" t="s">
        <v>44</v>
      </c>
      <c r="D19" s="4" t="s">
        <v>120</v>
      </c>
      <c r="E19" s="4" t="s">
        <v>113</v>
      </c>
      <c r="F19" s="4" t="s">
        <v>144</v>
      </c>
      <c r="G19" s="4" t="s">
        <v>145</v>
      </c>
      <c r="H19" s="11" t="s">
        <v>146</v>
      </c>
      <c r="I19" s="34" t="s">
        <v>140</v>
      </c>
      <c r="J19" s="26"/>
      <c r="K19" t="s">
        <v>147</v>
      </c>
      <c r="L19" s="10" t="s">
        <v>28</v>
      </c>
      <c r="M19">
        <v>0</v>
      </c>
      <c r="N19">
        <v>0</v>
      </c>
      <c r="O19">
        <v>0</v>
      </c>
      <c r="P19">
        <f t="shared" si="0"/>
        <v>0</v>
      </c>
      <c r="Q19" s="11" t="s">
        <v>148</v>
      </c>
    </row>
    <row r="20" spans="1:65" ht="20" customHeight="1" x14ac:dyDescent="0.3">
      <c r="A20" s="32"/>
      <c r="B20" t="s">
        <v>149</v>
      </c>
      <c r="C20" s="4" t="s">
        <v>44</v>
      </c>
      <c r="D20" t="s">
        <v>136</v>
      </c>
      <c r="E20" s="4" t="s">
        <v>21</v>
      </c>
      <c r="F20" s="4" t="s">
        <v>150</v>
      </c>
      <c r="G20" s="4" t="s">
        <v>151</v>
      </c>
      <c r="H20" s="11" t="s">
        <v>146</v>
      </c>
      <c r="I20" s="34" t="s">
        <v>140</v>
      </c>
      <c r="J20" s="26"/>
      <c r="K20" t="s">
        <v>152</v>
      </c>
      <c r="L20" s="10" t="s">
        <v>49</v>
      </c>
      <c r="M20">
        <v>0</v>
      </c>
      <c r="N20">
        <v>0</v>
      </c>
      <c r="O20">
        <v>0</v>
      </c>
      <c r="P20">
        <f t="shared" si="0"/>
        <v>0</v>
      </c>
      <c r="Q20" s="11" t="s">
        <v>153</v>
      </c>
    </row>
    <row r="21" spans="1:65" s="15" customFormat="1" ht="20" customHeight="1" x14ac:dyDescent="0.3">
      <c r="A21" s="35"/>
      <c r="B21" s="15" t="s">
        <v>154</v>
      </c>
      <c r="C21" s="14" t="s">
        <v>44</v>
      </c>
      <c r="D21" s="15" t="s">
        <v>136</v>
      </c>
      <c r="E21" s="14" t="s">
        <v>21</v>
      </c>
      <c r="F21" s="15" t="s">
        <v>155</v>
      </c>
      <c r="G21" s="15" t="s">
        <v>156</v>
      </c>
      <c r="H21" s="16" t="s">
        <v>157</v>
      </c>
      <c r="I21" s="36" t="s">
        <v>140</v>
      </c>
      <c r="J21" s="30"/>
      <c r="K21" s="15" t="s">
        <v>158</v>
      </c>
      <c r="L21" s="20" t="s">
        <v>28</v>
      </c>
      <c r="M21" s="15">
        <v>0</v>
      </c>
      <c r="N21" s="15">
        <v>0</v>
      </c>
      <c r="O21" s="15">
        <v>0</v>
      </c>
      <c r="P21" s="15">
        <f t="shared" si="0"/>
        <v>0</v>
      </c>
      <c r="Q21" s="21" t="s">
        <v>159</v>
      </c>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row>
    <row r="22" spans="1:65" ht="20" customHeight="1" x14ac:dyDescent="0.3">
      <c r="A22" s="37" t="s">
        <v>160</v>
      </c>
      <c r="B22" s="4" t="s">
        <v>161</v>
      </c>
      <c r="C22" s="4" t="s">
        <v>19</v>
      </c>
      <c r="D22" t="s">
        <v>162</v>
      </c>
      <c r="E22" s="4" t="s">
        <v>163</v>
      </c>
      <c r="F22" s="4" t="s">
        <v>164</v>
      </c>
      <c r="G22" s="4" t="s">
        <v>165</v>
      </c>
      <c r="H22" s="6" t="s">
        <v>166</v>
      </c>
      <c r="I22" s="33" t="s">
        <v>107</v>
      </c>
      <c r="J22" s="24" t="s">
        <v>167</v>
      </c>
      <c r="K22" s="9" t="s">
        <v>168</v>
      </c>
      <c r="L22" s="25" t="s">
        <v>62</v>
      </c>
      <c r="M22">
        <v>1</v>
      </c>
      <c r="N22">
        <v>1</v>
      </c>
      <c r="O22">
        <v>1</v>
      </c>
      <c r="P22">
        <f t="shared" si="0"/>
        <v>3</v>
      </c>
      <c r="Q22" s="11" t="s">
        <v>169</v>
      </c>
    </row>
    <row r="23" spans="1:65" ht="20" customHeight="1" x14ac:dyDescent="0.3">
      <c r="A23" s="37" t="s">
        <v>170</v>
      </c>
      <c r="B23" t="s">
        <v>171</v>
      </c>
      <c r="C23" s="4" t="s">
        <v>19</v>
      </c>
      <c r="D23" t="s">
        <v>162</v>
      </c>
      <c r="E23" s="4" t="s">
        <v>172</v>
      </c>
      <c r="F23" s="4" t="s">
        <v>173</v>
      </c>
      <c r="G23" s="4" t="s">
        <v>174</v>
      </c>
      <c r="H23" s="6" t="s">
        <v>175</v>
      </c>
      <c r="I23" s="33" t="s">
        <v>107</v>
      </c>
      <c r="J23" s="26"/>
      <c r="K23" s="9" t="s">
        <v>176</v>
      </c>
      <c r="L23" s="10" t="s">
        <v>28</v>
      </c>
      <c r="M23">
        <v>1</v>
      </c>
      <c r="N23">
        <v>1</v>
      </c>
      <c r="O23">
        <v>1</v>
      </c>
      <c r="P23">
        <f t="shared" si="0"/>
        <v>3</v>
      </c>
      <c r="Q23" s="11" t="s">
        <v>177</v>
      </c>
    </row>
    <row r="24" spans="1:65" ht="20" customHeight="1" x14ac:dyDescent="0.3">
      <c r="A24" s="37"/>
      <c r="B24" t="s">
        <v>178</v>
      </c>
      <c r="C24" s="4" t="s">
        <v>19</v>
      </c>
      <c r="D24" t="s">
        <v>162</v>
      </c>
      <c r="E24" t="s">
        <v>179</v>
      </c>
      <c r="F24" t="s">
        <v>180</v>
      </c>
      <c r="G24" t="s">
        <v>181</v>
      </c>
      <c r="H24" s="6" t="s">
        <v>182</v>
      </c>
      <c r="I24" s="34" t="s">
        <v>140</v>
      </c>
      <c r="J24" s="26"/>
      <c r="K24" s="5" t="s">
        <v>183</v>
      </c>
      <c r="L24" s="25" t="s">
        <v>62</v>
      </c>
      <c r="M24">
        <v>1</v>
      </c>
      <c r="N24">
        <v>1</v>
      </c>
      <c r="O24">
        <v>1</v>
      </c>
      <c r="P24">
        <f t="shared" si="0"/>
        <v>3</v>
      </c>
      <c r="Q24" s="11" t="s">
        <v>184</v>
      </c>
    </row>
    <row r="25" spans="1:65" ht="20" customHeight="1" x14ac:dyDescent="0.3">
      <c r="A25" s="37"/>
      <c r="B25" s="4" t="s">
        <v>185</v>
      </c>
      <c r="C25" s="4" t="s">
        <v>19</v>
      </c>
      <c r="D25" t="s">
        <v>162</v>
      </c>
      <c r="E25" s="4" t="s">
        <v>186</v>
      </c>
      <c r="F25" s="4" t="s">
        <v>187</v>
      </c>
      <c r="G25" s="4" t="s">
        <v>188</v>
      </c>
      <c r="H25" s="6" t="s">
        <v>189</v>
      </c>
      <c r="I25" s="33" t="s">
        <v>107</v>
      </c>
      <c r="J25" s="26"/>
      <c r="K25" s="9" t="s">
        <v>190</v>
      </c>
      <c r="L25" s="10" t="s">
        <v>28</v>
      </c>
      <c r="M25">
        <v>1</v>
      </c>
      <c r="N25">
        <v>1</v>
      </c>
      <c r="O25">
        <v>1</v>
      </c>
      <c r="P25">
        <f t="shared" si="0"/>
        <v>3</v>
      </c>
      <c r="Q25" s="11" t="s">
        <v>191</v>
      </c>
    </row>
    <row r="26" spans="1:65" ht="20" customHeight="1" x14ac:dyDescent="0.3">
      <c r="A26" s="37"/>
      <c r="B26" s="4" t="s">
        <v>192</v>
      </c>
      <c r="C26" s="4" t="s">
        <v>19</v>
      </c>
      <c r="D26" t="s">
        <v>162</v>
      </c>
      <c r="E26" t="s">
        <v>55</v>
      </c>
      <c r="F26" s="4" t="s">
        <v>193</v>
      </c>
      <c r="G26" s="4" t="s">
        <v>194</v>
      </c>
      <c r="H26" s="6" t="s">
        <v>195</v>
      </c>
      <c r="I26" s="38" t="s">
        <v>107</v>
      </c>
      <c r="J26" s="26"/>
      <c r="K26" s="5" t="s">
        <v>196</v>
      </c>
      <c r="L26" s="25" t="s">
        <v>62</v>
      </c>
      <c r="M26">
        <v>1</v>
      </c>
      <c r="N26">
        <v>1</v>
      </c>
      <c r="O26">
        <v>1</v>
      </c>
      <c r="P26">
        <f t="shared" si="0"/>
        <v>3</v>
      </c>
      <c r="Q26" s="11" t="s">
        <v>197</v>
      </c>
    </row>
    <row r="27" spans="1:65" ht="20" customHeight="1" x14ac:dyDescent="0.3">
      <c r="A27" s="37"/>
      <c r="B27" s="4" t="s">
        <v>198</v>
      </c>
      <c r="C27" s="4" t="s">
        <v>19</v>
      </c>
      <c r="D27" t="s">
        <v>162</v>
      </c>
      <c r="E27" t="s">
        <v>43</v>
      </c>
      <c r="F27" s="4" t="s">
        <v>199</v>
      </c>
      <c r="G27" s="4" t="s">
        <v>200</v>
      </c>
      <c r="H27" s="6" t="s">
        <v>201</v>
      </c>
      <c r="I27" s="33" t="s">
        <v>107</v>
      </c>
      <c r="J27" s="26"/>
      <c r="K27" s="9" t="s">
        <v>202</v>
      </c>
      <c r="L27" s="10" t="s">
        <v>28</v>
      </c>
      <c r="M27">
        <v>1</v>
      </c>
      <c r="N27">
        <v>1</v>
      </c>
      <c r="O27">
        <v>1</v>
      </c>
      <c r="P27">
        <f t="shared" si="0"/>
        <v>3</v>
      </c>
      <c r="Q27" s="11" t="s">
        <v>203</v>
      </c>
    </row>
    <row r="28" spans="1:65" s="15" customFormat="1" ht="20" customHeight="1" x14ac:dyDescent="0.3">
      <c r="A28" s="39"/>
      <c r="B28" s="14" t="s">
        <v>204</v>
      </c>
      <c r="C28" s="14" t="s">
        <v>205</v>
      </c>
      <c r="D28" s="15" t="s">
        <v>162</v>
      </c>
      <c r="E28" s="15" t="s">
        <v>206</v>
      </c>
      <c r="F28" s="14" t="s">
        <v>207</v>
      </c>
      <c r="G28" s="19" t="s">
        <v>208</v>
      </c>
      <c r="H28" s="16" t="s">
        <v>116</v>
      </c>
      <c r="I28" s="40" t="s">
        <v>140</v>
      </c>
      <c r="J28" s="30"/>
      <c r="K28" s="16" t="s">
        <v>209</v>
      </c>
      <c r="L28" s="31" t="s">
        <v>62</v>
      </c>
      <c r="M28" s="15">
        <v>1</v>
      </c>
      <c r="N28" s="15">
        <v>1</v>
      </c>
      <c r="O28" s="15">
        <v>1</v>
      </c>
      <c r="P28" s="15">
        <f t="shared" si="0"/>
        <v>3</v>
      </c>
      <c r="Q28" s="21" t="s">
        <v>210</v>
      </c>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row>
    <row r="29" spans="1:65" s="15" customFormat="1" ht="20" customHeight="1" x14ac:dyDescent="0.3">
      <c r="A29" s="41" t="s">
        <v>211</v>
      </c>
      <c r="B29" s="14" t="s">
        <v>212</v>
      </c>
      <c r="C29" s="14" t="s">
        <v>19</v>
      </c>
      <c r="D29" s="15" t="s">
        <v>213</v>
      </c>
      <c r="E29" s="15" t="s">
        <v>214</v>
      </c>
      <c r="F29" s="15" t="s">
        <v>207</v>
      </c>
      <c r="G29" s="15" t="s">
        <v>208</v>
      </c>
      <c r="H29" s="16" t="s">
        <v>116</v>
      </c>
      <c r="I29" s="42" t="s">
        <v>140</v>
      </c>
      <c r="K29" s="14" t="s">
        <v>215</v>
      </c>
      <c r="L29" s="20" t="s">
        <v>28</v>
      </c>
      <c r="M29" s="15">
        <v>1</v>
      </c>
      <c r="N29" s="15">
        <v>0</v>
      </c>
      <c r="O29" s="15">
        <v>0</v>
      </c>
      <c r="P29" s="43">
        <f t="shared" si="0"/>
        <v>1</v>
      </c>
      <c r="Q29" s="21" t="s">
        <v>216</v>
      </c>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row>
    <row r="30" spans="1:65" ht="20" customHeight="1" x14ac:dyDescent="0.3">
      <c r="A30" s="44" t="s">
        <v>217</v>
      </c>
      <c r="B30" t="s">
        <v>218</v>
      </c>
      <c r="C30" s="4" t="s">
        <v>19</v>
      </c>
      <c r="D30" t="s">
        <v>219</v>
      </c>
      <c r="E30" t="s">
        <v>220</v>
      </c>
      <c r="F30" s="4" t="s">
        <v>221</v>
      </c>
      <c r="G30" s="4" t="s">
        <v>222</v>
      </c>
      <c r="H30" t="s">
        <v>223</v>
      </c>
      <c r="I30" s="33" t="s">
        <v>59</v>
      </c>
      <c r="J30" s="45" t="s">
        <v>224</v>
      </c>
      <c r="K30" s="6" t="s">
        <v>225</v>
      </c>
      <c r="L30" s="10" t="s">
        <v>28</v>
      </c>
      <c r="M30">
        <v>1</v>
      </c>
      <c r="N30">
        <v>1</v>
      </c>
      <c r="O30">
        <v>1</v>
      </c>
      <c r="P30">
        <f t="shared" si="0"/>
        <v>3</v>
      </c>
      <c r="Q30" s="11" t="s">
        <v>226</v>
      </c>
    </row>
    <row r="31" spans="1:65" ht="20" customHeight="1" x14ac:dyDescent="0.3">
      <c r="A31" s="44"/>
      <c r="B31" t="s">
        <v>227</v>
      </c>
      <c r="C31" s="4" t="s">
        <v>19</v>
      </c>
      <c r="D31" t="s">
        <v>219</v>
      </c>
      <c r="E31" t="s">
        <v>220</v>
      </c>
      <c r="F31" s="4" t="s">
        <v>228</v>
      </c>
      <c r="G31" s="4" t="s">
        <v>229</v>
      </c>
      <c r="H31" t="s">
        <v>223</v>
      </c>
      <c r="I31" s="33" t="s">
        <v>59</v>
      </c>
      <c r="J31" s="46"/>
      <c r="K31" s="6" t="s">
        <v>230</v>
      </c>
      <c r="L31" s="10" t="s">
        <v>28</v>
      </c>
      <c r="M31">
        <v>1</v>
      </c>
      <c r="N31">
        <v>0</v>
      </c>
      <c r="O31">
        <v>0</v>
      </c>
      <c r="P31">
        <f t="shared" si="0"/>
        <v>1</v>
      </c>
      <c r="Q31" s="11" t="s">
        <v>231</v>
      </c>
    </row>
    <row r="32" spans="1:65" ht="20" customHeight="1" x14ac:dyDescent="0.3">
      <c r="A32" s="44"/>
      <c r="B32" t="s">
        <v>232</v>
      </c>
      <c r="C32" s="4" t="s">
        <v>19</v>
      </c>
      <c r="D32" t="s">
        <v>219</v>
      </c>
      <c r="E32" t="s">
        <v>128</v>
      </c>
      <c r="F32" s="4" t="s">
        <v>233</v>
      </c>
      <c r="G32" s="4" t="s">
        <v>234</v>
      </c>
      <c r="H32" t="s">
        <v>223</v>
      </c>
      <c r="I32" s="34" t="s">
        <v>140</v>
      </c>
      <c r="J32" s="46"/>
      <c r="K32" s="6" t="s">
        <v>235</v>
      </c>
      <c r="L32" s="25" t="s">
        <v>62</v>
      </c>
      <c r="M32">
        <v>1</v>
      </c>
      <c r="N32">
        <v>0</v>
      </c>
      <c r="O32">
        <v>0</v>
      </c>
      <c r="P32">
        <f t="shared" si="0"/>
        <v>1</v>
      </c>
      <c r="Q32" s="11" t="s">
        <v>236</v>
      </c>
    </row>
    <row r="33" spans="1:65" ht="20" customHeight="1" x14ac:dyDescent="0.3">
      <c r="A33" s="44"/>
      <c r="B33" t="s">
        <v>237</v>
      </c>
      <c r="C33" s="4" t="s">
        <v>19</v>
      </c>
      <c r="D33" t="s">
        <v>219</v>
      </c>
      <c r="E33" t="s">
        <v>113</v>
      </c>
      <c r="F33" s="4" t="s">
        <v>238</v>
      </c>
      <c r="G33" s="4" t="s">
        <v>239</v>
      </c>
      <c r="H33" t="s">
        <v>223</v>
      </c>
      <c r="I33" s="34" t="s">
        <v>140</v>
      </c>
      <c r="J33" s="46"/>
      <c r="K33" s="6" t="s">
        <v>240</v>
      </c>
      <c r="L33" s="10" t="s">
        <v>28</v>
      </c>
      <c r="M33">
        <v>1</v>
      </c>
      <c r="N33">
        <v>0</v>
      </c>
      <c r="O33">
        <v>0</v>
      </c>
      <c r="P33">
        <f t="shared" si="0"/>
        <v>1</v>
      </c>
      <c r="Q33" s="11" t="s">
        <v>241</v>
      </c>
    </row>
    <row r="34" spans="1:65" ht="20" customHeight="1" x14ac:dyDescent="0.3">
      <c r="A34" s="44"/>
      <c r="B34" t="s">
        <v>242</v>
      </c>
      <c r="C34" s="4" t="s">
        <v>19</v>
      </c>
      <c r="D34" t="s">
        <v>219</v>
      </c>
      <c r="E34" t="s">
        <v>172</v>
      </c>
      <c r="F34" s="4" t="s">
        <v>243</v>
      </c>
      <c r="G34" s="4" t="s">
        <v>244</v>
      </c>
      <c r="H34" t="s">
        <v>223</v>
      </c>
      <c r="I34" s="34" t="s">
        <v>140</v>
      </c>
      <c r="J34" s="46"/>
      <c r="K34" s="6" t="s">
        <v>245</v>
      </c>
      <c r="L34" s="10" t="s">
        <v>28</v>
      </c>
      <c r="M34">
        <v>1</v>
      </c>
      <c r="N34">
        <v>0</v>
      </c>
      <c r="O34">
        <v>0</v>
      </c>
      <c r="P34">
        <f t="shared" si="0"/>
        <v>1</v>
      </c>
      <c r="Q34" s="11" t="s">
        <v>246</v>
      </c>
    </row>
    <row r="35" spans="1:65" ht="20" customHeight="1" x14ac:dyDescent="0.3">
      <c r="A35" s="44"/>
      <c r="B35" t="s">
        <v>247</v>
      </c>
      <c r="C35" s="4" t="s">
        <v>19</v>
      </c>
      <c r="D35" t="s">
        <v>219</v>
      </c>
      <c r="E35" t="s">
        <v>172</v>
      </c>
      <c r="F35" s="4" t="s">
        <v>243</v>
      </c>
      <c r="G35" s="4" t="s">
        <v>244</v>
      </c>
      <c r="H35" t="s">
        <v>223</v>
      </c>
      <c r="I35" s="34" t="s">
        <v>140</v>
      </c>
      <c r="J35" s="46"/>
      <c r="K35" s="6" t="s">
        <v>245</v>
      </c>
      <c r="L35" s="10" t="s">
        <v>28</v>
      </c>
      <c r="M35">
        <v>1</v>
      </c>
      <c r="N35">
        <v>0</v>
      </c>
      <c r="O35">
        <v>0</v>
      </c>
      <c r="P35">
        <f t="shared" si="0"/>
        <v>1</v>
      </c>
      <c r="Q35" s="11" t="s">
        <v>248</v>
      </c>
    </row>
    <row r="36" spans="1:65" ht="20" customHeight="1" x14ac:dyDescent="0.3">
      <c r="A36" s="44"/>
      <c r="B36" t="s">
        <v>249</v>
      </c>
      <c r="C36" s="4" t="s">
        <v>19</v>
      </c>
      <c r="D36" t="s">
        <v>219</v>
      </c>
      <c r="E36" t="s">
        <v>172</v>
      </c>
      <c r="F36" s="4" t="s">
        <v>250</v>
      </c>
      <c r="G36" s="4" t="s">
        <v>251</v>
      </c>
      <c r="H36" t="s">
        <v>223</v>
      </c>
      <c r="I36" s="34" t="s">
        <v>140</v>
      </c>
      <c r="J36" s="46"/>
      <c r="K36" s="6" t="s">
        <v>245</v>
      </c>
      <c r="L36" s="10" t="s">
        <v>28</v>
      </c>
      <c r="M36">
        <v>1</v>
      </c>
      <c r="N36">
        <v>0</v>
      </c>
      <c r="O36">
        <v>0</v>
      </c>
      <c r="P36">
        <f t="shared" si="0"/>
        <v>1</v>
      </c>
      <c r="Q36" s="11" t="s">
        <v>252</v>
      </c>
    </row>
    <row r="37" spans="1:65" ht="20" customHeight="1" x14ac:dyDescent="0.3">
      <c r="A37" s="44"/>
      <c r="B37" t="s">
        <v>253</v>
      </c>
      <c r="C37" s="4" t="s">
        <v>19</v>
      </c>
      <c r="D37" t="s">
        <v>254</v>
      </c>
      <c r="E37" t="s">
        <v>214</v>
      </c>
      <c r="F37" s="4" t="s">
        <v>255</v>
      </c>
      <c r="G37" s="4" t="s">
        <v>256</v>
      </c>
      <c r="H37" t="s">
        <v>223</v>
      </c>
      <c r="I37" s="34" t="s">
        <v>140</v>
      </c>
      <c r="J37" s="46"/>
      <c r="K37" s="6" t="s">
        <v>257</v>
      </c>
      <c r="L37" s="10" t="s">
        <v>28</v>
      </c>
      <c r="M37">
        <v>1</v>
      </c>
      <c r="N37">
        <v>0</v>
      </c>
      <c r="O37">
        <v>0</v>
      </c>
      <c r="P37">
        <f t="shared" si="0"/>
        <v>1</v>
      </c>
      <c r="Q37" s="11" t="s">
        <v>258</v>
      </c>
    </row>
    <row r="38" spans="1:65" ht="20" customHeight="1" x14ac:dyDescent="0.3">
      <c r="A38" s="44"/>
      <c r="B38" t="s">
        <v>259</v>
      </c>
      <c r="C38" s="4" t="s">
        <v>19</v>
      </c>
      <c r="D38" t="s">
        <v>260</v>
      </c>
      <c r="E38" t="s">
        <v>261</v>
      </c>
      <c r="F38" s="4" t="s">
        <v>262</v>
      </c>
      <c r="G38" s="4" t="s">
        <v>263</v>
      </c>
      <c r="H38" t="s">
        <v>223</v>
      </c>
      <c r="I38" s="34" t="s">
        <v>140</v>
      </c>
      <c r="J38" s="46"/>
      <c r="K38" s="6" t="s">
        <v>264</v>
      </c>
      <c r="L38" s="10" t="s">
        <v>28</v>
      </c>
      <c r="M38">
        <v>1</v>
      </c>
      <c r="N38">
        <v>0</v>
      </c>
      <c r="O38">
        <v>0</v>
      </c>
      <c r="P38">
        <f t="shared" si="0"/>
        <v>1</v>
      </c>
      <c r="Q38" s="11" t="s">
        <v>265</v>
      </c>
    </row>
    <row r="39" spans="1:65" ht="20" customHeight="1" x14ac:dyDescent="0.3">
      <c r="A39" s="44"/>
      <c r="B39" t="s">
        <v>266</v>
      </c>
      <c r="C39" s="4" t="s">
        <v>19</v>
      </c>
      <c r="D39" t="s">
        <v>267</v>
      </c>
      <c r="E39" t="s">
        <v>91</v>
      </c>
      <c r="F39" s="4" t="s">
        <v>268</v>
      </c>
      <c r="G39" s="4" t="s">
        <v>269</v>
      </c>
      <c r="H39" t="s">
        <v>223</v>
      </c>
      <c r="I39" s="34" t="s">
        <v>140</v>
      </c>
      <c r="J39" s="46"/>
      <c r="K39" s="6" t="s">
        <v>270</v>
      </c>
      <c r="L39" s="25" t="s">
        <v>62</v>
      </c>
      <c r="M39">
        <v>0</v>
      </c>
      <c r="N39">
        <v>1</v>
      </c>
      <c r="O39">
        <v>1</v>
      </c>
      <c r="P39">
        <f t="shared" si="0"/>
        <v>2</v>
      </c>
      <c r="Q39" s="11" t="s">
        <v>271</v>
      </c>
    </row>
    <row r="40" spans="1:65" ht="20" customHeight="1" x14ac:dyDescent="0.3">
      <c r="A40" s="44"/>
      <c r="B40" t="s">
        <v>272</v>
      </c>
      <c r="C40" s="4" t="s">
        <v>19</v>
      </c>
      <c r="D40" t="s">
        <v>267</v>
      </c>
      <c r="E40" t="s">
        <v>38</v>
      </c>
      <c r="F40" s="4" t="s">
        <v>273</v>
      </c>
      <c r="G40" s="4" t="s">
        <v>274</v>
      </c>
      <c r="H40" t="s">
        <v>223</v>
      </c>
      <c r="I40" s="34" t="s">
        <v>140</v>
      </c>
      <c r="J40" s="46"/>
      <c r="K40" s="6" t="s">
        <v>275</v>
      </c>
      <c r="L40" s="10" t="s">
        <v>28</v>
      </c>
      <c r="M40">
        <v>0</v>
      </c>
      <c r="N40">
        <v>0</v>
      </c>
      <c r="O40">
        <v>0</v>
      </c>
      <c r="P40">
        <f t="shared" si="0"/>
        <v>0</v>
      </c>
      <c r="Q40" s="11" t="s">
        <v>276</v>
      </c>
    </row>
    <row r="41" spans="1:65" ht="20" customHeight="1" x14ac:dyDescent="0.3">
      <c r="A41" s="44"/>
      <c r="B41" t="s">
        <v>277</v>
      </c>
      <c r="C41" s="4" t="s">
        <v>19</v>
      </c>
      <c r="D41" t="s">
        <v>267</v>
      </c>
      <c r="E41" t="s">
        <v>43</v>
      </c>
      <c r="F41" s="4" t="s">
        <v>278</v>
      </c>
      <c r="G41" s="4" t="s">
        <v>279</v>
      </c>
      <c r="H41" t="s">
        <v>223</v>
      </c>
      <c r="I41" s="34" t="s">
        <v>140</v>
      </c>
      <c r="J41" s="46"/>
      <c r="K41" s="6" t="s">
        <v>280</v>
      </c>
      <c r="L41" s="10" t="s">
        <v>28</v>
      </c>
      <c r="M41">
        <v>0</v>
      </c>
      <c r="N41">
        <v>0</v>
      </c>
      <c r="O41">
        <v>0</v>
      </c>
      <c r="P41">
        <f t="shared" si="0"/>
        <v>0</v>
      </c>
      <c r="Q41" s="11" t="s">
        <v>281</v>
      </c>
    </row>
    <row r="42" spans="1:65" ht="20" customHeight="1" x14ac:dyDescent="0.3">
      <c r="A42" s="44"/>
      <c r="B42" t="s">
        <v>282</v>
      </c>
      <c r="C42" s="4" t="s">
        <v>19</v>
      </c>
      <c r="D42" s="4" t="s">
        <v>267</v>
      </c>
      <c r="E42" t="s">
        <v>220</v>
      </c>
      <c r="F42" s="4" t="s">
        <v>283</v>
      </c>
      <c r="G42" s="4" t="s">
        <v>284</v>
      </c>
      <c r="H42" t="s">
        <v>223</v>
      </c>
      <c r="I42" s="34" t="s">
        <v>140</v>
      </c>
      <c r="J42" s="46"/>
      <c r="K42" s="6" t="s">
        <v>285</v>
      </c>
      <c r="L42" s="10" t="s">
        <v>28</v>
      </c>
      <c r="M42">
        <v>0</v>
      </c>
      <c r="N42">
        <v>0</v>
      </c>
      <c r="O42">
        <v>0</v>
      </c>
      <c r="P42">
        <f>M42+N42+O42</f>
        <v>0</v>
      </c>
      <c r="Q42" s="11" t="s">
        <v>286</v>
      </c>
    </row>
    <row r="43" spans="1:65" ht="20" customHeight="1" x14ac:dyDescent="0.3">
      <c r="A43" s="44"/>
      <c r="B43" t="s">
        <v>287</v>
      </c>
      <c r="C43" s="4" t="s">
        <v>19</v>
      </c>
      <c r="D43" t="s">
        <v>103</v>
      </c>
      <c r="E43" t="s">
        <v>55</v>
      </c>
      <c r="F43" t="s">
        <v>104</v>
      </c>
      <c r="G43" t="s">
        <v>105</v>
      </c>
      <c r="H43" s="6" t="s">
        <v>116</v>
      </c>
      <c r="I43" s="34" t="s">
        <v>140</v>
      </c>
      <c r="J43" s="46"/>
      <c r="K43" s="9" t="s">
        <v>288</v>
      </c>
      <c r="L43" s="25" t="s">
        <v>62</v>
      </c>
      <c r="M43">
        <v>1</v>
      </c>
      <c r="N43">
        <v>1</v>
      </c>
      <c r="O43">
        <v>0</v>
      </c>
      <c r="P43">
        <f t="shared" si="0"/>
        <v>2</v>
      </c>
      <c r="Q43" s="11" t="s">
        <v>289</v>
      </c>
    </row>
    <row r="44" spans="1:65" s="15" customFormat="1" ht="20" customHeight="1" x14ac:dyDescent="0.3">
      <c r="A44" s="47"/>
      <c r="B44" s="15" t="s">
        <v>126</v>
      </c>
      <c r="C44" s="14" t="s">
        <v>44</v>
      </c>
      <c r="D44" s="15" t="s">
        <v>127</v>
      </c>
      <c r="E44" s="14" t="s">
        <v>128</v>
      </c>
      <c r="F44" s="14" t="s">
        <v>129</v>
      </c>
      <c r="G44" s="14" t="s">
        <v>130</v>
      </c>
      <c r="H44" s="21" t="s">
        <v>131</v>
      </c>
      <c r="I44" s="36" t="s">
        <v>132</v>
      </c>
      <c r="J44" s="48"/>
      <c r="K44" s="16" t="s">
        <v>133</v>
      </c>
      <c r="L44" s="31" t="s">
        <v>62</v>
      </c>
      <c r="M44" s="15">
        <v>1</v>
      </c>
      <c r="N44" s="15">
        <v>0</v>
      </c>
      <c r="O44" s="15">
        <v>0</v>
      </c>
      <c r="P44" s="15">
        <f t="shared" si="0"/>
        <v>1</v>
      </c>
      <c r="Q44" s="21" t="s">
        <v>290</v>
      </c>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row>
    <row r="45" spans="1:65" ht="20" customHeight="1" x14ac:dyDescent="0.3">
      <c r="A45" s="49" t="s">
        <v>291</v>
      </c>
      <c r="B45" t="s">
        <v>292</v>
      </c>
      <c r="C45" s="4" t="s">
        <v>19</v>
      </c>
      <c r="D45" t="s">
        <v>293</v>
      </c>
      <c r="E45" s="4" t="s">
        <v>91</v>
      </c>
      <c r="F45" t="s">
        <v>294</v>
      </c>
      <c r="G45" s="4" t="s">
        <v>295</v>
      </c>
      <c r="H45" s="6" t="s">
        <v>296</v>
      </c>
      <c r="I45" s="33" t="s">
        <v>59</v>
      </c>
      <c r="J45" s="24" t="s">
        <v>297</v>
      </c>
      <c r="K45" s="6" t="s">
        <v>298</v>
      </c>
      <c r="L45" s="25" t="s">
        <v>62</v>
      </c>
      <c r="M45">
        <v>1</v>
      </c>
      <c r="N45">
        <v>1</v>
      </c>
      <c r="O45">
        <v>1</v>
      </c>
      <c r="P45">
        <f t="shared" si="0"/>
        <v>3</v>
      </c>
      <c r="Q45" s="11" t="s">
        <v>299</v>
      </c>
    </row>
    <row r="46" spans="1:65" ht="20" customHeight="1" x14ac:dyDescent="0.3">
      <c r="A46" s="49"/>
      <c r="B46" s="4" t="s">
        <v>300</v>
      </c>
      <c r="C46" s="4" t="s">
        <v>19</v>
      </c>
      <c r="D46" t="s">
        <v>293</v>
      </c>
      <c r="E46" s="4" t="s">
        <v>55</v>
      </c>
      <c r="F46" s="4" t="s">
        <v>301</v>
      </c>
      <c r="G46" s="4" t="s">
        <v>302</v>
      </c>
      <c r="H46" s="6" t="s">
        <v>303</v>
      </c>
      <c r="I46" s="33" t="s">
        <v>59</v>
      </c>
      <c r="J46" s="26"/>
      <c r="K46" s="11" t="s">
        <v>304</v>
      </c>
      <c r="L46" s="25" t="s">
        <v>62</v>
      </c>
      <c r="M46">
        <v>1</v>
      </c>
      <c r="N46">
        <v>1</v>
      </c>
      <c r="O46">
        <v>1</v>
      </c>
      <c r="P46">
        <f t="shared" si="0"/>
        <v>3</v>
      </c>
      <c r="Q46" s="11" t="s">
        <v>305</v>
      </c>
    </row>
    <row r="47" spans="1:65" s="15" customFormat="1" ht="20" customHeight="1" x14ac:dyDescent="0.3">
      <c r="A47" s="50"/>
      <c r="B47" s="14" t="s">
        <v>306</v>
      </c>
      <c r="C47" s="14" t="s">
        <v>19</v>
      </c>
      <c r="D47" s="15" t="s">
        <v>293</v>
      </c>
      <c r="E47" s="14" t="s">
        <v>91</v>
      </c>
      <c r="F47" s="14" t="s">
        <v>307</v>
      </c>
      <c r="G47" s="14" t="s">
        <v>308</v>
      </c>
      <c r="H47" s="16" t="s">
        <v>309</v>
      </c>
      <c r="I47" s="36" t="s">
        <v>25</v>
      </c>
      <c r="J47" s="26"/>
      <c r="K47" s="16" t="s">
        <v>310</v>
      </c>
      <c r="L47" s="31" t="s">
        <v>62</v>
      </c>
      <c r="M47" s="15">
        <v>1</v>
      </c>
      <c r="N47" s="15">
        <v>0</v>
      </c>
      <c r="O47" s="15">
        <v>0</v>
      </c>
      <c r="P47" s="15">
        <f t="shared" si="0"/>
        <v>1</v>
      </c>
      <c r="Q47" s="21" t="s">
        <v>311</v>
      </c>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row>
    <row r="48" spans="1:65" ht="20" customHeight="1" x14ac:dyDescent="0.3">
      <c r="A48" s="49" t="s">
        <v>312</v>
      </c>
      <c r="B48" s="4" t="s">
        <v>306</v>
      </c>
      <c r="C48" s="4" t="s">
        <v>19</v>
      </c>
      <c r="D48" t="s">
        <v>293</v>
      </c>
      <c r="E48" s="4" t="s">
        <v>91</v>
      </c>
      <c r="F48" s="4" t="s">
        <v>307</v>
      </c>
      <c r="G48" s="4" t="s">
        <v>308</v>
      </c>
      <c r="H48" s="6" t="s">
        <v>309</v>
      </c>
      <c r="I48" s="34" t="s">
        <v>25</v>
      </c>
      <c r="J48" s="26"/>
      <c r="K48" t="s">
        <v>313</v>
      </c>
      <c r="L48" s="25" t="s">
        <v>62</v>
      </c>
      <c r="M48">
        <v>0</v>
      </c>
      <c r="N48">
        <v>0</v>
      </c>
      <c r="O48">
        <v>0</v>
      </c>
      <c r="P48">
        <f t="shared" si="0"/>
        <v>0</v>
      </c>
      <c r="Q48" s="11" t="s">
        <v>314</v>
      </c>
    </row>
    <row r="49" spans="1:65" ht="20" customHeight="1" x14ac:dyDescent="0.3">
      <c r="A49" s="49"/>
      <c r="B49" s="4" t="s">
        <v>300</v>
      </c>
      <c r="C49" s="4" t="s">
        <v>19</v>
      </c>
      <c r="D49" t="s">
        <v>293</v>
      </c>
      <c r="E49" s="4" t="s">
        <v>55</v>
      </c>
      <c r="F49" s="4" t="s">
        <v>301</v>
      </c>
      <c r="G49" s="4" t="s">
        <v>302</v>
      </c>
      <c r="H49" s="6" t="s">
        <v>303</v>
      </c>
      <c r="I49" s="33" t="s">
        <v>59</v>
      </c>
      <c r="J49" s="26"/>
      <c r="K49" s="4" t="s">
        <v>315</v>
      </c>
      <c r="L49" s="25" t="s">
        <v>62</v>
      </c>
      <c r="M49">
        <v>1</v>
      </c>
      <c r="N49">
        <v>1</v>
      </c>
      <c r="O49">
        <v>1</v>
      </c>
      <c r="P49">
        <f t="shared" si="0"/>
        <v>3</v>
      </c>
      <c r="Q49" s="11" t="s">
        <v>316</v>
      </c>
    </row>
    <row r="50" spans="1:65" ht="20" customHeight="1" x14ac:dyDescent="0.3">
      <c r="A50" s="49"/>
      <c r="B50" t="s">
        <v>292</v>
      </c>
      <c r="C50" s="4" t="s">
        <v>19</v>
      </c>
      <c r="D50" t="s">
        <v>293</v>
      </c>
      <c r="E50" s="4" t="s">
        <v>91</v>
      </c>
      <c r="F50" t="s">
        <v>294</v>
      </c>
      <c r="G50" s="4" t="s">
        <v>295</v>
      </c>
      <c r="H50" s="6" t="s">
        <v>296</v>
      </c>
      <c r="I50" s="33" t="s">
        <v>59</v>
      </c>
      <c r="J50" s="26"/>
      <c r="K50" s="6" t="s">
        <v>317</v>
      </c>
      <c r="L50" s="25" t="s">
        <v>62</v>
      </c>
      <c r="M50">
        <v>1</v>
      </c>
      <c r="N50">
        <v>1</v>
      </c>
      <c r="O50">
        <v>1</v>
      </c>
      <c r="P50">
        <f t="shared" si="0"/>
        <v>3</v>
      </c>
      <c r="Q50" s="11" t="s">
        <v>318</v>
      </c>
    </row>
    <row r="51" spans="1:65" ht="20" customHeight="1" x14ac:dyDescent="0.3">
      <c r="A51" s="49"/>
      <c r="B51" t="s">
        <v>319</v>
      </c>
      <c r="C51" s="4" t="s">
        <v>19</v>
      </c>
      <c r="D51" s="4" t="s">
        <v>320</v>
      </c>
      <c r="E51" s="4" t="s">
        <v>128</v>
      </c>
      <c r="F51" s="4" t="s">
        <v>321</v>
      </c>
      <c r="G51" s="4" t="s">
        <v>322</v>
      </c>
      <c r="H51" s="6" t="s">
        <v>323</v>
      </c>
      <c r="I51" s="33" t="s">
        <v>59</v>
      </c>
      <c r="J51" s="26"/>
      <c r="K51" s="4" t="s">
        <v>324</v>
      </c>
      <c r="L51" s="25" t="s">
        <v>62</v>
      </c>
      <c r="M51">
        <v>1</v>
      </c>
      <c r="N51">
        <v>1</v>
      </c>
      <c r="O51">
        <v>1</v>
      </c>
      <c r="P51">
        <f t="shared" si="0"/>
        <v>3</v>
      </c>
      <c r="Q51" s="11" t="s">
        <v>325</v>
      </c>
    </row>
    <row r="52" spans="1:65" s="15" customFormat="1" ht="20" customHeight="1" x14ac:dyDescent="0.3">
      <c r="A52" s="50"/>
      <c r="B52" s="15" t="s">
        <v>326</v>
      </c>
      <c r="C52" s="14" t="s">
        <v>19</v>
      </c>
      <c r="D52" s="15" t="s">
        <v>293</v>
      </c>
      <c r="E52" s="14" t="s">
        <v>220</v>
      </c>
      <c r="F52" s="14" t="s">
        <v>327</v>
      </c>
      <c r="G52" s="14" t="s">
        <v>328</v>
      </c>
      <c r="H52" s="16" t="s">
        <v>329</v>
      </c>
      <c r="I52" s="51" t="s">
        <v>330</v>
      </c>
      <c r="J52" s="26"/>
      <c r="K52" s="16" t="s">
        <v>331</v>
      </c>
      <c r="L52" s="20" t="s">
        <v>49</v>
      </c>
      <c r="M52" s="15">
        <v>0</v>
      </c>
      <c r="N52" s="15">
        <v>0</v>
      </c>
      <c r="O52" s="15">
        <v>0</v>
      </c>
      <c r="P52" s="15">
        <f t="shared" si="0"/>
        <v>0</v>
      </c>
      <c r="Q52" s="21" t="s">
        <v>332</v>
      </c>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row>
    <row r="53" spans="1:65" ht="20" customHeight="1" x14ac:dyDescent="0.3">
      <c r="A53" s="49" t="s">
        <v>333</v>
      </c>
      <c r="B53" t="s">
        <v>300</v>
      </c>
      <c r="C53" s="4" t="s">
        <v>19</v>
      </c>
      <c r="D53" t="s">
        <v>293</v>
      </c>
      <c r="E53" s="4" t="s">
        <v>55</v>
      </c>
      <c r="F53" s="4" t="s">
        <v>301</v>
      </c>
      <c r="G53" s="4" t="s">
        <v>302</v>
      </c>
      <c r="H53" s="4" t="s">
        <v>309</v>
      </c>
      <c r="I53" s="38" t="s">
        <v>59</v>
      </c>
      <c r="J53" s="26"/>
      <c r="K53" s="4" t="s">
        <v>334</v>
      </c>
      <c r="L53" s="25" t="s">
        <v>62</v>
      </c>
      <c r="M53">
        <v>1</v>
      </c>
      <c r="N53">
        <v>1</v>
      </c>
      <c r="O53">
        <v>1</v>
      </c>
      <c r="P53">
        <f t="shared" si="0"/>
        <v>3</v>
      </c>
      <c r="Q53" s="11" t="s">
        <v>335</v>
      </c>
    </row>
    <row r="54" spans="1:65" ht="20" customHeight="1" x14ac:dyDescent="0.3">
      <c r="A54" s="49"/>
      <c r="B54" t="s">
        <v>306</v>
      </c>
      <c r="C54" s="4" t="s">
        <v>19</v>
      </c>
      <c r="D54" t="s">
        <v>293</v>
      </c>
      <c r="E54" s="4" t="s">
        <v>91</v>
      </c>
      <c r="F54" s="4" t="s">
        <v>307</v>
      </c>
      <c r="G54" s="4" t="s">
        <v>308</v>
      </c>
      <c r="H54" s="4" t="s">
        <v>309</v>
      </c>
      <c r="I54" s="34" t="s">
        <v>25</v>
      </c>
      <c r="J54" s="26"/>
      <c r="K54" s="4" t="s">
        <v>336</v>
      </c>
      <c r="L54" s="25" t="s">
        <v>62</v>
      </c>
      <c r="M54">
        <v>0</v>
      </c>
      <c r="N54">
        <v>0</v>
      </c>
      <c r="O54">
        <v>0</v>
      </c>
      <c r="P54">
        <f t="shared" si="0"/>
        <v>0</v>
      </c>
      <c r="Q54" s="11" t="s">
        <v>337</v>
      </c>
    </row>
    <row r="55" spans="1:65" ht="20" customHeight="1" x14ac:dyDescent="0.3">
      <c r="A55" s="49"/>
      <c r="B55" t="s">
        <v>292</v>
      </c>
      <c r="C55" s="4" t="s">
        <v>19</v>
      </c>
      <c r="D55" t="s">
        <v>293</v>
      </c>
      <c r="E55" s="4" t="s">
        <v>91</v>
      </c>
      <c r="F55" t="s">
        <v>294</v>
      </c>
      <c r="G55" s="4" t="s">
        <v>295</v>
      </c>
      <c r="H55" s="4" t="s">
        <v>309</v>
      </c>
      <c r="I55" s="33" t="s">
        <v>59</v>
      </c>
      <c r="J55" s="26"/>
      <c r="K55" s="4" t="s">
        <v>336</v>
      </c>
      <c r="L55" s="25" t="s">
        <v>62</v>
      </c>
      <c r="M55">
        <v>1</v>
      </c>
      <c r="N55">
        <v>1</v>
      </c>
      <c r="O55">
        <v>1</v>
      </c>
      <c r="P55">
        <f t="shared" si="0"/>
        <v>3</v>
      </c>
      <c r="Q55" s="11" t="s">
        <v>338</v>
      </c>
    </row>
    <row r="56" spans="1:65" ht="20" customHeight="1" x14ac:dyDescent="0.3">
      <c r="A56" s="49"/>
      <c r="B56" t="s">
        <v>326</v>
      </c>
      <c r="C56" s="4" t="s">
        <v>19</v>
      </c>
      <c r="D56" t="s">
        <v>293</v>
      </c>
      <c r="E56" s="4" t="s">
        <v>220</v>
      </c>
      <c r="F56" s="4" t="s">
        <v>327</v>
      </c>
      <c r="G56" s="4" t="s">
        <v>328</v>
      </c>
      <c r="H56" s="4" t="s">
        <v>309</v>
      </c>
      <c r="I56" s="34" t="s">
        <v>25</v>
      </c>
      <c r="J56" s="26"/>
      <c r="K56" s="4" t="s">
        <v>339</v>
      </c>
      <c r="L56" s="10" t="s">
        <v>28</v>
      </c>
      <c r="M56">
        <v>0</v>
      </c>
      <c r="N56">
        <v>0</v>
      </c>
      <c r="O56">
        <v>0</v>
      </c>
      <c r="P56">
        <f t="shared" si="0"/>
        <v>0</v>
      </c>
      <c r="Q56" s="11" t="s">
        <v>340</v>
      </c>
    </row>
    <row r="57" spans="1:65" s="14" customFormat="1" ht="20" customHeight="1" x14ac:dyDescent="0.3">
      <c r="A57" s="52"/>
      <c r="B57" s="14" t="s">
        <v>319</v>
      </c>
      <c r="C57" s="14" t="s">
        <v>19</v>
      </c>
      <c r="D57" s="14" t="s">
        <v>320</v>
      </c>
      <c r="E57" s="14" t="s">
        <v>128</v>
      </c>
      <c r="F57" s="14" t="s">
        <v>321</v>
      </c>
      <c r="G57" s="14" t="s">
        <v>322</v>
      </c>
      <c r="H57" s="14" t="s">
        <v>309</v>
      </c>
      <c r="I57" s="40" t="s">
        <v>59</v>
      </c>
      <c r="J57" s="26"/>
      <c r="K57" s="16" t="s">
        <v>341</v>
      </c>
      <c r="L57" s="42" t="s">
        <v>62</v>
      </c>
      <c r="M57" s="14">
        <v>1</v>
      </c>
      <c r="N57" s="14">
        <v>1</v>
      </c>
      <c r="O57" s="14">
        <v>1</v>
      </c>
      <c r="P57" s="15">
        <f t="shared" si="0"/>
        <v>3</v>
      </c>
      <c r="Q57" s="16" t="s">
        <v>342</v>
      </c>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row>
    <row r="58" spans="1:65" ht="20" customHeight="1" x14ac:dyDescent="0.3">
      <c r="A58" s="49" t="s">
        <v>343</v>
      </c>
      <c r="B58" t="s">
        <v>300</v>
      </c>
      <c r="C58" s="4" t="s">
        <v>19</v>
      </c>
      <c r="D58" t="s">
        <v>293</v>
      </c>
      <c r="E58" s="4" t="s">
        <v>55</v>
      </c>
      <c r="F58" s="4" t="s">
        <v>301</v>
      </c>
      <c r="G58" s="4" t="s">
        <v>302</v>
      </c>
      <c r="H58" s="4" t="s">
        <v>309</v>
      </c>
      <c r="I58" s="38" t="s">
        <v>59</v>
      </c>
      <c r="J58" s="26"/>
      <c r="K58" s="4" t="s">
        <v>344</v>
      </c>
      <c r="L58" s="53" t="s">
        <v>62</v>
      </c>
      <c r="M58" s="4">
        <v>1</v>
      </c>
      <c r="N58" s="4">
        <v>1</v>
      </c>
      <c r="O58" s="4">
        <v>1</v>
      </c>
      <c r="P58">
        <f>M58+N58+O58</f>
        <v>3</v>
      </c>
      <c r="Q58" s="11" t="s">
        <v>345</v>
      </c>
    </row>
    <row r="59" spans="1:65" ht="20" customHeight="1" x14ac:dyDescent="0.3">
      <c r="A59" s="49"/>
      <c r="B59" t="s">
        <v>292</v>
      </c>
      <c r="C59" s="4" t="s">
        <v>19</v>
      </c>
      <c r="D59" t="s">
        <v>293</v>
      </c>
      <c r="E59" s="4" t="s">
        <v>91</v>
      </c>
      <c r="F59" t="s">
        <v>294</v>
      </c>
      <c r="G59" s="4" t="s">
        <v>295</v>
      </c>
      <c r="H59" s="4" t="s">
        <v>309</v>
      </c>
      <c r="I59" s="38" t="s">
        <v>59</v>
      </c>
      <c r="J59" s="26"/>
      <c r="K59" s="6" t="s">
        <v>346</v>
      </c>
      <c r="L59" s="53" t="s">
        <v>62</v>
      </c>
      <c r="M59" s="4">
        <v>1</v>
      </c>
      <c r="N59" s="4">
        <v>1</v>
      </c>
      <c r="O59" s="4">
        <v>1</v>
      </c>
      <c r="P59">
        <f t="shared" ref="P59:P122" si="1">M59+N59+O59</f>
        <v>3</v>
      </c>
      <c r="Q59" s="11" t="s">
        <v>347</v>
      </c>
    </row>
    <row r="60" spans="1:65" ht="20" customHeight="1" x14ac:dyDescent="0.3">
      <c r="A60" s="49"/>
      <c r="B60" t="s">
        <v>326</v>
      </c>
      <c r="C60" s="4" t="s">
        <v>19</v>
      </c>
      <c r="D60" t="s">
        <v>293</v>
      </c>
      <c r="E60" s="4" t="s">
        <v>220</v>
      </c>
      <c r="F60" s="4" t="s">
        <v>327</v>
      </c>
      <c r="G60" s="4" t="s">
        <v>328</v>
      </c>
      <c r="H60" s="4" t="s">
        <v>309</v>
      </c>
      <c r="I60" s="54" t="s">
        <v>330</v>
      </c>
      <c r="J60" s="26"/>
      <c r="K60" s="6" t="s">
        <v>348</v>
      </c>
      <c r="L60" s="38" t="s">
        <v>28</v>
      </c>
      <c r="M60" s="4">
        <v>0</v>
      </c>
      <c r="N60" s="4">
        <v>0</v>
      </c>
      <c r="O60" s="4">
        <v>0</v>
      </c>
      <c r="P60">
        <f t="shared" si="1"/>
        <v>0</v>
      </c>
      <c r="Q60" s="11" t="s">
        <v>349</v>
      </c>
    </row>
    <row r="61" spans="1:65" ht="20" customHeight="1" x14ac:dyDescent="0.3">
      <c r="A61" s="49"/>
      <c r="B61" s="4" t="s">
        <v>319</v>
      </c>
      <c r="C61" s="4" t="s">
        <v>19</v>
      </c>
      <c r="D61" s="4" t="s">
        <v>320</v>
      </c>
      <c r="E61" s="4" t="s">
        <v>128</v>
      </c>
      <c r="F61" s="4" t="s">
        <v>321</v>
      </c>
      <c r="G61" s="4" t="s">
        <v>322</v>
      </c>
      <c r="H61" s="4" t="s">
        <v>309</v>
      </c>
      <c r="I61" s="54" t="s">
        <v>330</v>
      </c>
      <c r="J61" s="26"/>
      <c r="K61" s="6" t="s">
        <v>350</v>
      </c>
      <c r="L61" s="53" t="s">
        <v>62</v>
      </c>
      <c r="M61" s="4">
        <v>1</v>
      </c>
      <c r="N61" s="4">
        <v>1</v>
      </c>
      <c r="O61" s="4">
        <v>1</v>
      </c>
      <c r="P61">
        <f t="shared" si="1"/>
        <v>3</v>
      </c>
      <c r="Q61" s="11" t="s">
        <v>351</v>
      </c>
    </row>
    <row r="62" spans="1:65" ht="20" customHeight="1" x14ac:dyDescent="0.3">
      <c r="A62" s="49"/>
      <c r="B62" t="s">
        <v>306</v>
      </c>
      <c r="C62" s="4" t="s">
        <v>19</v>
      </c>
      <c r="D62" t="s">
        <v>293</v>
      </c>
      <c r="E62" s="4" t="s">
        <v>91</v>
      </c>
      <c r="F62" s="4" t="s">
        <v>307</v>
      </c>
      <c r="G62" s="4" t="s">
        <v>308</v>
      </c>
      <c r="H62" s="4" t="s">
        <v>309</v>
      </c>
      <c r="I62" s="54" t="s">
        <v>330</v>
      </c>
      <c r="J62" s="26"/>
      <c r="K62" s="6" t="s">
        <v>352</v>
      </c>
      <c r="L62" s="53" t="s">
        <v>62</v>
      </c>
      <c r="M62" s="4">
        <v>0</v>
      </c>
      <c r="N62" s="4">
        <v>0</v>
      </c>
      <c r="O62" s="4">
        <v>0</v>
      </c>
      <c r="P62">
        <f t="shared" si="1"/>
        <v>0</v>
      </c>
      <c r="Q62" s="11" t="s">
        <v>353</v>
      </c>
    </row>
    <row r="63" spans="1:65" ht="20" customHeight="1" x14ac:dyDescent="0.3">
      <c r="A63" s="49"/>
      <c r="B63" s="4" t="s">
        <v>30</v>
      </c>
      <c r="C63" s="4" t="s">
        <v>354</v>
      </c>
      <c r="D63" t="s">
        <v>20</v>
      </c>
      <c r="E63" s="4" t="s">
        <v>31</v>
      </c>
      <c r="F63" s="4" t="s">
        <v>32</v>
      </c>
      <c r="G63" s="4" t="s">
        <v>33</v>
      </c>
      <c r="H63" s="6" t="s">
        <v>24</v>
      </c>
      <c r="I63" s="54" t="s">
        <v>330</v>
      </c>
      <c r="J63" s="26"/>
      <c r="K63" s="4" t="s">
        <v>355</v>
      </c>
      <c r="L63" s="38" t="s">
        <v>28</v>
      </c>
      <c r="M63" s="4">
        <v>0</v>
      </c>
      <c r="N63" s="4">
        <v>0</v>
      </c>
      <c r="O63" s="4">
        <v>0</v>
      </c>
      <c r="P63">
        <f t="shared" si="1"/>
        <v>0</v>
      </c>
      <c r="Q63" s="11" t="s">
        <v>356</v>
      </c>
    </row>
    <row r="64" spans="1:65" ht="20" customHeight="1" x14ac:dyDescent="0.3">
      <c r="A64" s="49"/>
      <c r="B64" s="4" t="s">
        <v>18</v>
      </c>
      <c r="C64" s="4" t="s">
        <v>354</v>
      </c>
      <c r="D64" t="s">
        <v>20</v>
      </c>
      <c r="E64" s="5" t="s">
        <v>21</v>
      </c>
      <c r="F64" s="5" t="s">
        <v>22</v>
      </c>
      <c r="G64" s="5" t="s">
        <v>23</v>
      </c>
      <c r="H64" s="6" t="s">
        <v>24</v>
      </c>
      <c r="I64" s="54" t="s">
        <v>330</v>
      </c>
      <c r="J64" s="26"/>
      <c r="K64" s="4" t="s">
        <v>355</v>
      </c>
      <c r="L64" s="38" t="s">
        <v>28</v>
      </c>
      <c r="M64" s="4">
        <v>0</v>
      </c>
      <c r="N64" s="4">
        <v>0</v>
      </c>
      <c r="O64" s="4">
        <v>0</v>
      </c>
      <c r="P64">
        <f t="shared" si="1"/>
        <v>0</v>
      </c>
      <c r="Q64" s="11" t="s">
        <v>357</v>
      </c>
    </row>
    <row r="65" spans="1:65" s="15" customFormat="1" ht="20" customHeight="1" x14ac:dyDescent="0.3">
      <c r="A65" s="50"/>
      <c r="B65" s="14" t="s">
        <v>36</v>
      </c>
      <c r="C65" s="14" t="s">
        <v>354</v>
      </c>
      <c r="D65" s="15" t="s">
        <v>37</v>
      </c>
      <c r="E65" s="14" t="s">
        <v>38</v>
      </c>
      <c r="F65" s="14" t="s">
        <v>39</v>
      </c>
      <c r="G65" s="14" t="s">
        <v>40</v>
      </c>
      <c r="H65" s="16" t="s">
        <v>24</v>
      </c>
      <c r="I65" s="51" t="s">
        <v>330</v>
      </c>
      <c r="J65" s="30"/>
      <c r="K65" s="14" t="s">
        <v>355</v>
      </c>
      <c r="L65" s="20" t="s">
        <v>28</v>
      </c>
      <c r="M65" s="15">
        <v>0</v>
      </c>
      <c r="N65" s="15">
        <v>0</v>
      </c>
      <c r="O65" s="15">
        <v>0</v>
      </c>
      <c r="P65" s="15">
        <f t="shared" si="1"/>
        <v>0</v>
      </c>
      <c r="Q65" s="21" t="s">
        <v>358</v>
      </c>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row>
    <row r="66" spans="1:65" s="43" customFormat="1" ht="20" customHeight="1" x14ac:dyDescent="0.3">
      <c r="A66" s="55" t="s">
        <v>359</v>
      </c>
      <c r="B66" s="56" t="s">
        <v>360</v>
      </c>
      <c r="C66" s="56" t="s">
        <v>360</v>
      </c>
      <c r="D66" s="56" t="s">
        <v>360</v>
      </c>
      <c r="E66" s="56" t="s">
        <v>360</v>
      </c>
      <c r="F66" s="56" t="s">
        <v>360</v>
      </c>
      <c r="G66" s="56" t="s">
        <v>360</v>
      </c>
      <c r="H66" s="56" t="s">
        <v>360</v>
      </c>
      <c r="I66" s="56" t="s">
        <v>360</v>
      </c>
      <c r="J66" s="56" t="s">
        <v>360</v>
      </c>
      <c r="K66" s="56" t="s">
        <v>360</v>
      </c>
      <c r="L66" s="56" t="s">
        <v>360</v>
      </c>
      <c r="M66" s="56">
        <v>0</v>
      </c>
      <c r="N66" s="43">
        <v>0</v>
      </c>
      <c r="O66" s="43">
        <v>0</v>
      </c>
      <c r="P66" s="43">
        <f t="shared" si="1"/>
        <v>0</v>
      </c>
      <c r="Q66" s="56" t="s">
        <v>360</v>
      </c>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row>
    <row r="67" spans="1:65" s="43" customFormat="1" ht="20" customHeight="1" x14ac:dyDescent="0.3">
      <c r="A67" s="55" t="s">
        <v>361</v>
      </c>
      <c r="B67" s="56" t="s">
        <v>360</v>
      </c>
      <c r="C67" s="56" t="s">
        <v>360</v>
      </c>
      <c r="D67" s="56" t="s">
        <v>360</v>
      </c>
      <c r="E67" s="56" t="s">
        <v>360</v>
      </c>
      <c r="F67" s="56" t="s">
        <v>360</v>
      </c>
      <c r="G67" s="56" t="s">
        <v>360</v>
      </c>
      <c r="H67" s="56" t="s">
        <v>360</v>
      </c>
      <c r="I67" s="56" t="s">
        <v>360</v>
      </c>
      <c r="J67" s="56" t="s">
        <v>360</v>
      </c>
      <c r="K67" s="56" t="s">
        <v>360</v>
      </c>
      <c r="L67" s="56" t="s">
        <v>360</v>
      </c>
      <c r="M67" s="56">
        <v>0</v>
      </c>
      <c r="N67" s="43">
        <v>0</v>
      </c>
      <c r="O67" s="43">
        <v>0</v>
      </c>
      <c r="P67" s="43">
        <f t="shared" si="1"/>
        <v>0</v>
      </c>
      <c r="Q67" s="56" t="s">
        <v>360</v>
      </c>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row>
    <row r="68" spans="1:65" s="43" customFormat="1" ht="20" customHeight="1" x14ac:dyDescent="0.3">
      <c r="A68" s="55" t="s">
        <v>362</v>
      </c>
      <c r="B68" s="56" t="s">
        <v>360</v>
      </c>
      <c r="C68" s="56" t="s">
        <v>360</v>
      </c>
      <c r="D68" s="56" t="s">
        <v>360</v>
      </c>
      <c r="E68" s="56" t="s">
        <v>360</v>
      </c>
      <c r="F68" s="56" t="s">
        <v>360</v>
      </c>
      <c r="G68" s="56" t="s">
        <v>360</v>
      </c>
      <c r="H68" s="56" t="s">
        <v>360</v>
      </c>
      <c r="I68" s="56" t="s">
        <v>360</v>
      </c>
      <c r="J68" s="56" t="s">
        <v>360</v>
      </c>
      <c r="K68" s="56" t="s">
        <v>360</v>
      </c>
      <c r="L68" s="56" t="s">
        <v>360</v>
      </c>
      <c r="M68" s="56">
        <v>0</v>
      </c>
      <c r="N68" s="43">
        <v>0</v>
      </c>
      <c r="O68" s="43">
        <v>0</v>
      </c>
      <c r="P68" s="43">
        <f t="shared" si="1"/>
        <v>0</v>
      </c>
      <c r="Q68" s="56" t="s">
        <v>360</v>
      </c>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row>
    <row r="69" spans="1:65" ht="20" customHeight="1" x14ac:dyDescent="0.3">
      <c r="A69" s="57" t="s">
        <v>363</v>
      </c>
      <c r="B69" t="s">
        <v>149</v>
      </c>
      <c r="C69" s="4" t="s">
        <v>19</v>
      </c>
      <c r="D69" t="s">
        <v>364</v>
      </c>
      <c r="E69" t="s">
        <v>21</v>
      </c>
      <c r="F69" s="4" t="s">
        <v>150</v>
      </c>
      <c r="G69" s="4" t="s">
        <v>151</v>
      </c>
      <c r="H69" s="4" t="s">
        <v>309</v>
      </c>
      <c r="I69" s="38" t="s">
        <v>59</v>
      </c>
      <c r="J69" s="58" t="s">
        <v>365</v>
      </c>
      <c r="K69" s="6" t="s">
        <v>366</v>
      </c>
      <c r="L69" s="38" t="s">
        <v>28</v>
      </c>
      <c r="M69" s="4">
        <v>1</v>
      </c>
      <c r="N69">
        <v>1</v>
      </c>
      <c r="O69">
        <v>0</v>
      </c>
      <c r="P69">
        <f t="shared" si="1"/>
        <v>2</v>
      </c>
      <c r="Q69" s="11" t="s">
        <v>367</v>
      </c>
    </row>
    <row r="70" spans="1:65" ht="20" customHeight="1" x14ac:dyDescent="0.3">
      <c r="A70" s="57"/>
      <c r="B70" t="s">
        <v>368</v>
      </c>
      <c r="C70" s="4" t="s">
        <v>19</v>
      </c>
      <c r="D70" t="s">
        <v>369</v>
      </c>
      <c r="E70" t="s">
        <v>220</v>
      </c>
      <c r="F70" s="4" t="s">
        <v>370</v>
      </c>
      <c r="G70" s="4" t="s">
        <v>371</v>
      </c>
      <c r="H70" s="6" t="s">
        <v>372</v>
      </c>
      <c r="I70" s="38" t="s">
        <v>59</v>
      </c>
      <c r="J70" s="59"/>
      <c r="K70" t="s">
        <v>373</v>
      </c>
      <c r="L70" s="38" t="s">
        <v>49</v>
      </c>
      <c r="M70" s="4">
        <v>1</v>
      </c>
      <c r="N70">
        <v>1</v>
      </c>
      <c r="O70">
        <v>1</v>
      </c>
      <c r="P70">
        <f t="shared" si="1"/>
        <v>3</v>
      </c>
      <c r="Q70" s="11" t="s">
        <v>374</v>
      </c>
    </row>
    <row r="71" spans="1:65" ht="20" customHeight="1" x14ac:dyDescent="0.3">
      <c r="A71" s="57"/>
      <c r="B71" t="s">
        <v>375</v>
      </c>
      <c r="C71" s="4" t="s">
        <v>19</v>
      </c>
      <c r="D71" t="s">
        <v>376</v>
      </c>
      <c r="E71" t="s">
        <v>220</v>
      </c>
      <c r="F71" s="4" t="s">
        <v>377</v>
      </c>
      <c r="G71" s="4" t="s">
        <v>378</v>
      </c>
      <c r="H71" s="6" t="s">
        <v>379</v>
      </c>
      <c r="I71" s="38" t="s">
        <v>59</v>
      </c>
      <c r="J71" s="59"/>
      <c r="K71" s="4" t="s">
        <v>380</v>
      </c>
      <c r="L71" s="38" t="s">
        <v>28</v>
      </c>
      <c r="M71" s="4">
        <v>1</v>
      </c>
      <c r="N71">
        <v>1</v>
      </c>
      <c r="O71">
        <v>0</v>
      </c>
      <c r="P71">
        <f t="shared" si="1"/>
        <v>2</v>
      </c>
      <c r="Q71" s="11" t="s">
        <v>381</v>
      </c>
    </row>
    <row r="72" spans="1:65" ht="20" customHeight="1" x14ac:dyDescent="0.3">
      <c r="A72" s="57"/>
      <c r="B72" t="s">
        <v>382</v>
      </c>
      <c r="C72" s="4" t="s">
        <v>19</v>
      </c>
      <c r="D72" t="s">
        <v>383</v>
      </c>
      <c r="E72" t="s">
        <v>21</v>
      </c>
      <c r="F72" s="4" t="s">
        <v>384</v>
      </c>
      <c r="G72" s="4" t="s">
        <v>385</v>
      </c>
      <c r="H72" s="6" t="s">
        <v>386</v>
      </c>
      <c r="I72" s="53" t="s">
        <v>25</v>
      </c>
      <c r="J72" s="59"/>
      <c r="K72" s="4" t="s">
        <v>387</v>
      </c>
      <c r="L72" s="38" t="s">
        <v>28</v>
      </c>
      <c r="M72" s="4">
        <v>1</v>
      </c>
      <c r="N72">
        <v>1</v>
      </c>
      <c r="O72">
        <v>1</v>
      </c>
      <c r="P72">
        <f t="shared" si="1"/>
        <v>3</v>
      </c>
      <c r="Q72" s="11" t="s">
        <v>388</v>
      </c>
    </row>
    <row r="73" spans="1:65" ht="20" customHeight="1" x14ac:dyDescent="0.3">
      <c r="A73" s="57"/>
      <c r="B73" t="s">
        <v>389</v>
      </c>
      <c r="C73" s="4" t="s">
        <v>19</v>
      </c>
      <c r="D73" t="s">
        <v>383</v>
      </c>
      <c r="E73" t="s">
        <v>220</v>
      </c>
      <c r="F73" s="4" t="s">
        <v>390</v>
      </c>
      <c r="G73" s="4" t="s">
        <v>391</v>
      </c>
      <c r="H73" s="6" t="s">
        <v>386</v>
      </c>
      <c r="I73" s="53" t="s">
        <v>25</v>
      </c>
      <c r="J73" s="59"/>
      <c r="K73" s="4" t="s">
        <v>392</v>
      </c>
      <c r="L73" s="38" t="s">
        <v>28</v>
      </c>
      <c r="M73" s="4">
        <v>1</v>
      </c>
      <c r="N73">
        <v>1</v>
      </c>
      <c r="O73">
        <v>0</v>
      </c>
      <c r="P73">
        <f t="shared" si="1"/>
        <v>2</v>
      </c>
      <c r="Q73" s="11" t="s">
        <v>393</v>
      </c>
    </row>
    <row r="74" spans="1:65" ht="20" customHeight="1" x14ac:dyDescent="0.3">
      <c r="A74" s="57"/>
      <c r="B74" t="s">
        <v>394</v>
      </c>
      <c r="C74" s="4" t="s">
        <v>19</v>
      </c>
      <c r="D74" t="s">
        <v>383</v>
      </c>
      <c r="E74" t="s">
        <v>220</v>
      </c>
      <c r="F74" s="4" t="s">
        <v>395</v>
      </c>
      <c r="G74" s="4" t="s">
        <v>396</v>
      </c>
      <c r="H74" s="6" t="s">
        <v>397</v>
      </c>
      <c r="I74" s="53" t="s">
        <v>25</v>
      </c>
      <c r="J74" s="59"/>
      <c r="K74" s="4" t="s">
        <v>398</v>
      </c>
      <c r="L74" s="38" t="s">
        <v>28</v>
      </c>
      <c r="M74" s="4">
        <v>0</v>
      </c>
      <c r="N74">
        <v>0</v>
      </c>
      <c r="O74">
        <v>0</v>
      </c>
      <c r="P74">
        <f t="shared" si="1"/>
        <v>0</v>
      </c>
      <c r="Q74" s="11" t="s">
        <v>399</v>
      </c>
    </row>
    <row r="75" spans="1:65" ht="20" customHeight="1" x14ac:dyDescent="0.3">
      <c r="A75" s="57"/>
      <c r="B75" t="s">
        <v>400</v>
      </c>
      <c r="C75" s="4" t="s">
        <v>19</v>
      </c>
      <c r="D75" t="s">
        <v>383</v>
      </c>
      <c r="E75" t="s">
        <v>220</v>
      </c>
      <c r="F75" s="4" t="s">
        <v>401</v>
      </c>
      <c r="G75" s="4" t="s">
        <v>402</v>
      </c>
      <c r="H75" s="6" t="s">
        <v>397</v>
      </c>
      <c r="I75" s="53" t="s">
        <v>25</v>
      </c>
      <c r="J75" s="59"/>
      <c r="K75" s="6" t="s">
        <v>403</v>
      </c>
      <c r="L75" s="10" t="s">
        <v>28</v>
      </c>
      <c r="M75" s="4">
        <v>1</v>
      </c>
      <c r="N75">
        <v>0</v>
      </c>
      <c r="O75">
        <v>1</v>
      </c>
      <c r="P75">
        <f t="shared" si="1"/>
        <v>2</v>
      </c>
      <c r="Q75" s="11" t="s">
        <v>404</v>
      </c>
    </row>
    <row r="76" spans="1:65" ht="20" customHeight="1" x14ac:dyDescent="0.3">
      <c r="A76" s="57"/>
      <c r="B76" t="s">
        <v>405</v>
      </c>
      <c r="C76" s="4" t="s">
        <v>19</v>
      </c>
      <c r="D76" t="s">
        <v>383</v>
      </c>
      <c r="E76" t="s">
        <v>220</v>
      </c>
      <c r="F76" s="4" t="s">
        <v>406</v>
      </c>
      <c r="G76" s="4" t="s">
        <v>407</v>
      </c>
      <c r="H76" s="4" t="s">
        <v>309</v>
      </c>
      <c r="I76" s="53" t="s">
        <v>25</v>
      </c>
      <c r="J76" s="59"/>
      <c r="K76" s="6" t="s">
        <v>408</v>
      </c>
      <c r="L76" s="10" t="s">
        <v>28</v>
      </c>
      <c r="M76" s="4">
        <v>1</v>
      </c>
      <c r="N76">
        <v>0</v>
      </c>
      <c r="O76">
        <v>1</v>
      </c>
      <c r="P76">
        <f t="shared" si="1"/>
        <v>2</v>
      </c>
      <c r="Q76" s="11" t="s">
        <v>409</v>
      </c>
    </row>
    <row r="77" spans="1:65" ht="20" customHeight="1" x14ac:dyDescent="0.3">
      <c r="A77" s="57"/>
      <c r="B77" t="s">
        <v>30</v>
      </c>
      <c r="C77" s="4" t="s">
        <v>19</v>
      </c>
      <c r="D77" t="s">
        <v>20</v>
      </c>
      <c r="E77" s="4" t="s">
        <v>31</v>
      </c>
      <c r="F77" s="4" t="s">
        <v>32</v>
      </c>
      <c r="G77" s="4" t="s">
        <v>33</v>
      </c>
      <c r="H77" s="6" t="s">
        <v>24</v>
      </c>
      <c r="I77" s="53" t="s">
        <v>25</v>
      </c>
      <c r="J77" s="59"/>
      <c r="K77" s="6" t="s">
        <v>410</v>
      </c>
      <c r="L77" s="10" t="s">
        <v>28</v>
      </c>
      <c r="M77" s="4">
        <v>1</v>
      </c>
      <c r="N77">
        <v>1</v>
      </c>
      <c r="O77">
        <v>0</v>
      </c>
      <c r="P77">
        <f t="shared" si="1"/>
        <v>2</v>
      </c>
      <c r="Q77" s="11" t="s">
        <v>411</v>
      </c>
    </row>
    <row r="78" spans="1:65" ht="20" customHeight="1" x14ac:dyDescent="0.3">
      <c r="A78" s="57"/>
      <c r="B78" t="s">
        <v>18</v>
      </c>
      <c r="C78" s="4" t="s">
        <v>19</v>
      </c>
      <c r="D78" t="s">
        <v>20</v>
      </c>
      <c r="E78" s="5" t="s">
        <v>21</v>
      </c>
      <c r="F78" s="5" t="s">
        <v>22</v>
      </c>
      <c r="G78" s="5" t="s">
        <v>23</v>
      </c>
      <c r="H78" s="6" t="s">
        <v>24</v>
      </c>
      <c r="I78" s="7" t="s">
        <v>25</v>
      </c>
      <c r="J78" s="59"/>
      <c r="K78" s="4" t="s">
        <v>412</v>
      </c>
      <c r="L78" s="10" t="s">
        <v>28</v>
      </c>
      <c r="M78" s="4">
        <v>0</v>
      </c>
      <c r="N78">
        <v>0</v>
      </c>
      <c r="O78">
        <v>0</v>
      </c>
      <c r="P78">
        <f t="shared" si="1"/>
        <v>0</v>
      </c>
      <c r="Q78" s="11" t="s">
        <v>413</v>
      </c>
    </row>
    <row r="79" spans="1:65" ht="20" customHeight="1" x14ac:dyDescent="0.3">
      <c r="A79" s="57"/>
      <c r="B79" t="s">
        <v>414</v>
      </c>
      <c r="C79" s="4" t="s">
        <v>44</v>
      </c>
      <c r="D79" t="s">
        <v>415</v>
      </c>
      <c r="E79" s="4" t="s">
        <v>21</v>
      </c>
      <c r="F79" s="4" t="s">
        <v>416</v>
      </c>
      <c r="G79" s="4" t="s">
        <v>417</v>
      </c>
      <c r="H79" s="6" t="s">
        <v>24</v>
      </c>
      <c r="I79" s="53" t="s">
        <v>25</v>
      </c>
      <c r="J79" s="59"/>
      <c r="K79" s="4" t="s">
        <v>418</v>
      </c>
      <c r="L79" s="10" t="s">
        <v>28</v>
      </c>
      <c r="M79" s="4">
        <v>1</v>
      </c>
      <c r="N79">
        <v>1</v>
      </c>
      <c r="O79">
        <v>0</v>
      </c>
      <c r="P79">
        <f t="shared" si="1"/>
        <v>2</v>
      </c>
      <c r="Q79" s="11" t="s">
        <v>419</v>
      </c>
    </row>
    <row r="80" spans="1:65" ht="20" customHeight="1" x14ac:dyDescent="0.3">
      <c r="A80" s="57"/>
      <c r="B80" t="s">
        <v>420</v>
      </c>
      <c r="C80" s="4" t="s">
        <v>44</v>
      </c>
      <c r="D80" t="s">
        <v>415</v>
      </c>
      <c r="E80" s="4" t="s">
        <v>113</v>
      </c>
      <c r="F80" t="s">
        <v>421</v>
      </c>
      <c r="G80" s="4" t="s">
        <v>422</v>
      </c>
      <c r="H80" s="6" t="s">
        <v>24</v>
      </c>
      <c r="I80" s="53" t="s">
        <v>25</v>
      </c>
      <c r="J80" s="59"/>
      <c r="K80" t="s">
        <v>423</v>
      </c>
      <c r="L80" s="10" t="s">
        <v>49</v>
      </c>
      <c r="M80" s="4">
        <v>1</v>
      </c>
      <c r="N80">
        <v>1</v>
      </c>
      <c r="O80">
        <v>0</v>
      </c>
      <c r="P80">
        <f t="shared" si="1"/>
        <v>2</v>
      </c>
      <c r="Q80" s="11" t="s">
        <v>424</v>
      </c>
    </row>
    <row r="81" spans="1:65" ht="20" customHeight="1" x14ac:dyDescent="0.3">
      <c r="A81" s="57"/>
      <c r="B81" t="s">
        <v>425</v>
      </c>
      <c r="C81" s="4" t="s">
        <v>44</v>
      </c>
      <c r="D81" t="s">
        <v>426</v>
      </c>
      <c r="E81" t="s">
        <v>206</v>
      </c>
      <c r="F81" s="4" t="s">
        <v>427</v>
      </c>
      <c r="G81" s="4" t="s">
        <v>428</v>
      </c>
      <c r="H81" s="6" t="s">
        <v>24</v>
      </c>
      <c r="I81" s="53" t="s">
        <v>25</v>
      </c>
      <c r="J81" s="59"/>
      <c r="K81" s="4" t="s">
        <v>429</v>
      </c>
      <c r="L81" s="25" t="s">
        <v>62</v>
      </c>
      <c r="M81" s="4">
        <v>1</v>
      </c>
      <c r="N81">
        <v>1</v>
      </c>
      <c r="O81">
        <v>0</v>
      </c>
      <c r="P81">
        <f t="shared" si="1"/>
        <v>2</v>
      </c>
      <c r="Q81" s="11" t="s">
        <v>430</v>
      </c>
    </row>
    <row r="82" spans="1:65" ht="20" customHeight="1" x14ac:dyDescent="0.3">
      <c r="A82" s="57"/>
      <c r="B82" t="s">
        <v>431</v>
      </c>
      <c r="C82" s="4" t="s">
        <v>44</v>
      </c>
      <c r="D82" t="s">
        <v>432</v>
      </c>
      <c r="E82" t="s">
        <v>21</v>
      </c>
      <c r="F82" s="4" t="s">
        <v>433</v>
      </c>
      <c r="G82" s="4" t="s">
        <v>434</v>
      </c>
      <c r="H82" s="6" t="s">
        <v>24</v>
      </c>
      <c r="I82" s="53" t="s">
        <v>25</v>
      </c>
      <c r="J82" s="59"/>
      <c r="K82" t="s">
        <v>435</v>
      </c>
      <c r="L82" s="10" t="s">
        <v>28</v>
      </c>
      <c r="M82" s="4">
        <v>1</v>
      </c>
      <c r="N82">
        <v>1</v>
      </c>
      <c r="O82">
        <v>0</v>
      </c>
      <c r="P82">
        <f t="shared" si="1"/>
        <v>2</v>
      </c>
      <c r="Q82" s="11" t="s">
        <v>436</v>
      </c>
    </row>
    <row r="83" spans="1:65" s="15" customFormat="1" ht="20" customHeight="1" x14ac:dyDescent="0.3">
      <c r="A83" s="60"/>
      <c r="B83" s="15" t="s">
        <v>437</v>
      </c>
      <c r="C83" s="14" t="s">
        <v>438</v>
      </c>
      <c r="E83" s="15" t="s">
        <v>55</v>
      </c>
      <c r="F83" s="14" t="s">
        <v>439</v>
      </c>
      <c r="G83" s="14" t="s">
        <v>440</v>
      </c>
      <c r="H83" s="16" t="s">
        <v>24</v>
      </c>
      <c r="I83" s="42" t="s">
        <v>25</v>
      </c>
      <c r="J83" s="61"/>
      <c r="K83" s="15" t="s">
        <v>441</v>
      </c>
      <c r="L83" s="31" t="s">
        <v>62</v>
      </c>
      <c r="M83" s="15">
        <v>0</v>
      </c>
      <c r="N83" s="15">
        <v>1</v>
      </c>
      <c r="O83" s="15">
        <v>0</v>
      </c>
      <c r="P83" s="15">
        <f t="shared" si="1"/>
        <v>1</v>
      </c>
      <c r="Q83" s="21" t="s">
        <v>442</v>
      </c>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row>
    <row r="84" spans="1:65" ht="20" customHeight="1" x14ac:dyDescent="0.3">
      <c r="A84" s="62" t="s">
        <v>443</v>
      </c>
      <c r="B84" t="s">
        <v>444</v>
      </c>
      <c r="C84" s="4" t="s">
        <v>19</v>
      </c>
      <c r="D84" t="s">
        <v>445</v>
      </c>
      <c r="E84" t="s">
        <v>55</v>
      </c>
      <c r="F84" s="4" t="s">
        <v>446</v>
      </c>
      <c r="G84" s="4" t="s">
        <v>447</v>
      </c>
      <c r="H84" s="6" t="s">
        <v>448</v>
      </c>
      <c r="I84" s="53" t="s">
        <v>25</v>
      </c>
      <c r="J84" s="63" t="s">
        <v>449</v>
      </c>
      <c r="K84" s="4" t="s">
        <v>450</v>
      </c>
      <c r="L84" s="25" t="s">
        <v>62</v>
      </c>
      <c r="M84">
        <v>1</v>
      </c>
      <c r="N84">
        <v>0</v>
      </c>
      <c r="O84">
        <v>0</v>
      </c>
      <c r="P84">
        <f t="shared" si="1"/>
        <v>1</v>
      </c>
      <c r="Q84" s="11" t="s">
        <v>451</v>
      </c>
    </row>
    <row r="85" spans="1:65" ht="20" customHeight="1" x14ac:dyDescent="0.3">
      <c r="A85" s="62"/>
      <c r="B85" t="s">
        <v>452</v>
      </c>
      <c r="C85" s="4" t="s">
        <v>19</v>
      </c>
      <c r="D85" t="s">
        <v>445</v>
      </c>
      <c r="E85" t="s">
        <v>55</v>
      </c>
      <c r="F85" s="4" t="s">
        <v>453</v>
      </c>
      <c r="G85" s="4" t="s">
        <v>454</v>
      </c>
      <c r="H85" s="4" t="s">
        <v>309</v>
      </c>
      <c r="I85" s="53" t="s">
        <v>25</v>
      </c>
      <c r="J85" s="64"/>
      <c r="K85" s="4" t="s">
        <v>455</v>
      </c>
      <c r="L85" s="25" t="s">
        <v>62</v>
      </c>
      <c r="M85">
        <v>1</v>
      </c>
      <c r="N85">
        <v>0</v>
      </c>
      <c r="O85">
        <v>0</v>
      </c>
      <c r="P85">
        <f t="shared" si="1"/>
        <v>1</v>
      </c>
      <c r="Q85" s="11" t="s">
        <v>456</v>
      </c>
    </row>
    <row r="86" spans="1:65" ht="20" customHeight="1" x14ac:dyDescent="0.3">
      <c r="A86" s="62"/>
      <c r="B86" s="4" t="s">
        <v>457</v>
      </c>
      <c r="C86" s="4" t="s">
        <v>19</v>
      </c>
      <c r="D86" t="s">
        <v>213</v>
      </c>
      <c r="E86" t="s">
        <v>113</v>
      </c>
      <c r="F86" s="4" t="s">
        <v>458</v>
      </c>
      <c r="G86" s="4" t="s">
        <v>459</v>
      </c>
      <c r="H86" s="6" t="s">
        <v>460</v>
      </c>
      <c r="I86" s="53" t="s">
        <v>25</v>
      </c>
      <c r="J86" s="64"/>
      <c r="K86" s="4" t="s">
        <v>461</v>
      </c>
      <c r="L86" s="10" t="s">
        <v>28</v>
      </c>
      <c r="M86">
        <v>1</v>
      </c>
      <c r="N86">
        <v>0</v>
      </c>
      <c r="O86">
        <v>0</v>
      </c>
      <c r="P86">
        <f t="shared" si="1"/>
        <v>1</v>
      </c>
      <c r="Q86" s="11" t="s">
        <v>462</v>
      </c>
    </row>
    <row r="87" spans="1:65" ht="20" customHeight="1" x14ac:dyDescent="0.3">
      <c r="A87" s="62"/>
      <c r="B87" s="4" t="s">
        <v>463</v>
      </c>
      <c r="C87" s="4" t="s">
        <v>44</v>
      </c>
      <c r="D87" t="s">
        <v>213</v>
      </c>
      <c r="E87" t="s">
        <v>113</v>
      </c>
      <c r="F87" s="4" t="s">
        <v>464</v>
      </c>
      <c r="G87" s="4" t="s">
        <v>465</v>
      </c>
      <c r="H87" s="4" t="s">
        <v>309</v>
      </c>
      <c r="I87" s="53" t="s">
        <v>25</v>
      </c>
      <c r="J87" s="64"/>
      <c r="K87" s="4" t="s">
        <v>466</v>
      </c>
      <c r="L87" s="10" t="s">
        <v>28</v>
      </c>
      <c r="M87">
        <v>1</v>
      </c>
      <c r="N87">
        <v>1</v>
      </c>
      <c r="O87">
        <v>0</v>
      </c>
      <c r="P87">
        <f t="shared" si="1"/>
        <v>2</v>
      </c>
      <c r="Q87" s="11" t="s">
        <v>467</v>
      </c>
    </row>
    <row r="88" spans="1:65" s="15" customFormat="1" ht="20" customHeight="1" x14ac:dyDescent="0.3">
      <c r="A88" s="65"/>
      <c r="B88" s="14" t="s">
        <v>212</v>
      </c>
      <c r="C88" s="14" t="s">
        <v>19</v>
      </c>
      <c r="D88" s="15" t="s">
        <v>213</v>
      </c>
      <c r="E88" s="15" t="s">
        <v>214</v>
      </c>
      <c r="F88" s="15" t="s">
        <v>207</v>
      </c>
      <c r="G88" s="15" t="s">
        <v>208</v>
      </c>
      <c r="H88" s="16" t="s">
        <v>116</v>
      </c>
      <c r="I88" s="42" t="s">
        <v>25</v>
      </c>
      <c r="J88" s="66"/>
      <c r="K88" s="14" t="s">
        <v>468</v>
      </c>
      <c r="L88" s="20" t="s">
        <v>28</v>
      </c>
      <c r="M88" s="15">
        <v>1</v>
      </c>
      <c r="N88" s="15">
        <v>0</v>
      </c>
      <c r="O88" s="15">
        <v>0</v>
      </c>
      <c r="P88" s="15">
        <f t="shared" si="1"/>
        <v>1</v>
      </c>
      <c r="Q88" s="21" t="s">
        <v>469</v>
      </c>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row>
    <row r="89" spans="1:65" ht="20" customHeight="1" x14ac:dyDescent="0.3">
      <c r="A89" s="67" t="s">
        <v>470</v>
      </c>
      <c r="B89" t="s">
        <v>471</v>
      </c>
      <c r="C89" s="4" t="s">
        <v>19</v>
      </c>
      <c r="D89" t="s">
        <v>472</v>
      </c>
      <c r="E89" t="s">
        <v>214</v>
      </c>
      <c r="F89" s="4" t="s">
        <v>473</v>
      </c>
      <c r="G89" s="4" t="s">
        <v>474</v>
      </c>
      <c r="H89" s="6" t="s">
        <v>116</v>
      </c>
      <c r="I89" s="53" t="s">
        <v>25</v>
      </c>
      <c r="J89" s="45" t="s">
        <v>475</v>
      </c>
      <c r="K89" s="4" t="s">
        <v>476</v>
      </c>
      <c r="L89" s="10" t="s">
        <v>28</v>
      </c>
      <c r="M89">
        <v>1</v>
      </c>
      <c r="N89">
        <v>1</v>
      </c>
      <c r="O89">
        <v>1</v>
      </c>
      <c r="P89">
        <f t="shared" si="1"/>
        <v>3</v>
      </c>
      <c r="Q89" s="11" t="s">
        <v>477</v>
      </c>
    </row>
    <row r="90" spans="1:65" ht="20" customHeight="1" x14ac:dyDescent="0.3">
      <c r="A90" s="67"/>
      <c r="B90" t="s">
        <v>478</v>
      </c>
      <c r="C90" s="4" t="s">
        <v>19</v>
      </c>
      <c r="D90" t="s">
        <v>213</v>
      </c>
      <c r="E90" t="s">
        <v>214</v>
      </c>
      <c r="F90" t="s">
        <v>207</v>
      </c>
      <c r="G90" t="s">
        <v>208</v>
      </c>
      <c r="H90" s="6" t="s">
        <v>116</v>
      </c>
      <c r="I90" s="53" t="s">
        <v>25</v>
      </c>
      <c r="J90" s="46"/>
      <c r="K90" s="4" t="s">
        <v>479</v>
      </c>
      <c r="L90" s="10" t="s">
        <v>28</v>
      </c>
      <c r="M90">
        <v>1</v>
      </c>
      <c r="N90">
        <v>1</v>
      </c>
      <c r="O90">
        <v>1</v>
      </c>
      <c r="P90">
        <f t="shared" si="1"/>
        <v>3</v>
      </c>
      <c r="Q90" s="11" t="s">
        <v>480</v>
      </c>
    </row>
    <row r="91" spans="1:65" s="15" customFormat="1" ht="20" customHeight="1" x14ac:dyDescent="0.3">
      <c r="A91" s="68"/>
      <c r="B91" s="15" t="s">
        <v>481</v>
      </c>
      <c r="C91" s="14" t="s">
        <v>19</v>
      </c>
      <c r="D91" s="15" t="s">
        <v>213</v>
      </c>
      <c r="E91" s="14" t="s">
        <v>214</v>
      </c>
      <c r="F91" s="14" t="s">
        <v>482</v>
      </c>
      <c r="G91" s="14" t="s">
        <v>483</v>
      </c>
      <c r="H91" s="16" t="s">
        <v>116</v>
      </c>
      <c r="I91" s="42" t="s">
        <v>25</v>
      </c>
      <c r="J91" s="48"/>
      <c r="K91" s="14" t="s">
        <v>484</v>
      </c>
      <c r="L91" s="20" t="s">
        <v>28</v>
      </c>
      <c r="M91" s="15">
        <v>1</v>
      </c>
      <c r="N91" s="15">
        <v>1</v>
      </c>
      <c r="O91" s="15">
        <v>0</v>
      </c>
      <c r="P91" s="15">
        <f t="shared" si="1"/>
        <v>2</v>
      </c>
      <c r="Q91" s="21" t="s">
        <v>485</v>
      </c>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row>
    <row r="92" spans="1:65" ht="20" customHeight="1" x14ac:dyDescent="0.3">
      <c r="A92" s="69" t="s">
        <v>486</v>
      </c>
      <c r="B92" t="s">
        <v>326</v>
      </c>
      <c r="C92" s="4" t="s">
        <v>19</v>
      </c>
      <c r="D92" t="s">
        <v>293</v>
      </c>
      <c r="E92" s="4" t="s">
        <v>220</v>
      </c>
      <c r="F92" s="4" t="s">
        <v>327</v>
      </c>
      <c r="G92" s="4" t="s">
        <v>328</v>
      </c>
      <c r="H92" s="6" t="s">
        <v>329</v>
      </c>
      <c r="I92" s="54" t="s">
        <v>330</v>
      </c>
      <c r="J92" s="24" t="s">
        <v>487</v>
      </c>
      <c r="K92" s="4" t="s">
        <v>488</v>
      </c>
      <c r="L92" s="10" t="s">
        <v>28</v>
      </c>
      <c r="M92">
        <v>1</v>
      </c>
      <c r="N92">
        <v>1</v>
      </c>
      <c r="O92">
        <v>0</v>
      </c>
      <c r="P92">
        <f t="shared" si="1"/>
        <v>2</v>
      </c>
      <c r="Q92" s="11" t="s">
        <v>489</v>
      </c>
    </row>
    <row r="93" spans="1:65" ht="20" customHeight="1" x14ac:dyDescent="0.3">
      <c r="A93" s="69"/>
      <c r="B93" t="s">
        <v>149</v>
      </c>
      <c r="C93" s="4" t="s">
        <v>44</v>
      </c>
      <c r="D93" t="s">
        <v>136</v>
      </c>
      <c r="E93" s="4" t="s">
        <v>21</v>
      </c>
      <c r="F93" s="4" t="s">
        <v>150</v>
      </c>
      <c r="G93" s="4" t="s">
        <v>151</v>
      </c>
      <c r="H93" s="11" t="s">
        <v>146</v>
      </c>
      <c r="I93" s="53" t="s">
        <v>25</v>
      </c>
      <c r="J93" s="46"/>
      <c r="K93" s="4" t="s">
        <v>490</v>
      </c>
      <c r="L93" s="10" t="s">
        <v>28</v>
      </c>
      <c r="M93">
        <v>1</v>
      </c>
      <c r="N93">
        <v>1</v>
      </c>
      <c r="O93">
        <v>0</v>
      </c>
      <c r="P93">
        <f t="shared" si="1"/>
        <v>2</v>
      </c>
      <c r="Q93" s="11" t="s">
        <v>491</v>
      </c>
    </row>
    <row r="94" spans="1:65" ht="20" customHeight="1" x14ac:dyDescent="0.3">
      <c r="A94" s="69"/>
      <c r="B94" t="s">
        <v>492</v>
      </c>
      <c r="C94" s="4" t="s">
        <v>44</v>
      </c>
      <c r="D94" s="4" t="s">
        <v>493</v>
      </c>
      <c r="E94" s="4" t="s">
        <v>220</v>
      </c>
      <c r="F94" s="4" t="s">
        <v>494</v>
      </c>
      <c r="G94" s="4" t="s">
        <v>495</v>
      </c>
      <c r="H94" s="6" t="s">
        <v>496</v>
      </c>
      <c r="I94" s="53" t="s">
        <v>25</v>
      </c>
      <c r="J94" s="46"/>
      <c r="K94" s="4" t="s">
        <v>497</v>
      </c>
      <c r="L94" s="10" t="s">
        <v>28</v>
      </c>
      <c r="M94">
        <v>1</v>
      </c>
      <c r="N94">
        <v>1</v>
      </c>
      <c r="O94">
        <v>0</v>
      </c>
      <c r="P94">
        <f t="shared" si="1"/>
        <v>2</v>
      </c>
      <c r="Q94" s="11" t="s">
        <v>498</v>
      </c>
    </row>
    <row r="95" spans="1:65" ht="20" customHeight="1" x14ac:dyDescent="0.3">
      <c r="A95" s="69"/>
      <c r="B95" s="4" t="s">
        <v>499</v>
      </c>
      <c r="C95" s="4" t="s">
        <v>19</v>
      </c>
      <c r="D95" t="s">
        <v>500</v>
      </c>
      <c r="E95" s="4" t="s">
        <v>113</v>
      </c>
      <c r="F95" s="4" t="s">
        <v>501</v>
      </c>
      <c r="G95" s="4" t="s">
        <v>502</v>
      </c>
      <c r="H95" s="6" t="s">
        <v>329</v>
      </c>
      <c r="I95" s="53" t="s">
        <v>25</v>
      </c>
      <c r="J95" s="46"/>
      <c r="K95" s="4" t="s">
        <v>503</v>
      </c>
      <c r="L95" s="10" t="s">
        <v>28</v>
      </c>
      <c r="M95">
        <v>1</v>
      </c>
      <c r="N95">
        <v>0</v>
      </c>
      <c r="O95">
        <v>0</v>
      </c>
      <c r="P95">
        <f t="shared" si="1"/>
        <v>1</v>
      </c>
      <c r="Q95" s="11" t="s">
        <v>504</v>
      </c>
    </row>
    <row r="96" spans="1:65" ht="20" customHeight="1" x14ac:dyDescent="0.3">
      <c r="A96" s="69"/>
      <c r="B96" t="s">
        <v>292</v>
      </c>
      <c r="C96" s="4" t="s">
        <v>19</v>
      </c>
      <c r="D96" t="s">
        <v>293</v>
      </c>
      <c r="E96" s="4" t="s">
        <v>91</v>
      </c>
      <c r="F96" t="s">
        <v>294</v>
      </c>
      <c r="G96" s="4" t="s">
        <v>295</v>
      </c>
      <c r="H96" s="6" t="s">
        <v>296</v>
      </c>
      <c r="I96" s="53" t="s">
        <v>25</v>
      </c>
      <c r="J96" s="46"/>
      <c r="K96" s="4" t="s">
        <v>505</v>
      </c>
      <c r="L96" s="25" t="s">
        <v>62</v>
      </c>
      <c r="M96">
        <v>1</v>
      </c>
      <c r="N96">
        <v>1</v>
      </c>
      <c r="O96">
        <v>0</v>
      </c>
      <c r="P96">
        <f t="shared" si="1"/>
        <v>2</v>
      </c>
      <c r="Q96" s="11" t="s">
        <v>506</v>
      </c>
    </row>
    <row r="97" spans="1:65" ht="20" customHeight="1" x14ac:dyDescent="0.3">
      <c r="A97" s="69"/>
      <c r="B97" s="4" t="s">
        <v>300</v>
      </c>
      <c r="C97" s="4" t="s">
        <v>19</v>
      </c>
      <c r="D97" t="s">
        <v>293</v>
      </c>
      <c r="E97" s="4" t="s">
        <v>55</v>
      </c>
      <c r="F97" s="4" t="s">
        <v>301</v>
      </c>
      <c r="G97" s="4" t="s">
        <v>302</v>
      </c>
      <c r="H97" s="6" t="s">
        <v>303</v>
      </c>
      <c r="I97" s="53" t="s">
        <v>25</v>
      </c>
      <c r="J97" s="46"/>
      <c r="K97" s="4" t="s">
        <v>507</v>
      </c>
      <c r="L97" s="25" t="s">
        <v>62</v>
      </c>
      <c r="M97">
        <v>1</v>
      </c>
      <c r="N97">
        <v>1</v>
      </c>
      <c r="O97">
        <v>1</v>
      </c>
      <c r="P97">
        <f t="shared" si="1"/>
        <v>3</v>
      </c>
      <c r="Q97" s="11" t="s">
        <v>508</v>
      </c>
    </row>
    <row r="98" spans="1:65" ht="20" customHeight="1" x14ac:dyDescent="0.3">
      <c r="A98" s="69"/>
      <c r="B98" s="4" t="s">
        <v>306</v>
      </c>
      <c r="C98" s="4" t="s">
        <v>19</v>
      </c>
      <c r="D98" t="s">
        <v>293</v>
      </c>
      <c r="E98" s="4" t="s">
        <v>91</v>
      </c>
      <c r="F98" s="4" t="s">
        <v>307</v>
      </c>
      <c r="G98" s="4" t="s">
        <v>308</v>
      </c>
      <c r="H98" s="6" t="s">
        <v>309</v>
      </c>
      <c r="I98" s="53" t="s">
        <v>25</v>
      </c>
      <c r="J98" s="46"/>
      <c r="K98" s="6" t="s">
        <v>509</v>
      </c>
      <c r="L98" s="25" t="s">
        <v>62</v>
      </c>
      <c r="M98">
        <v>1</v>
      </c>
      <c r="N98">
        <v>1</v>
      </c>
      <c r="O98">
        <v>0</v>
      </c>
      <c r="P98">
        <f t="shared" si="1"/>
        <v>2</v>
      </c>
      <c r="Q98" s="11" t="s">
        <v>510</v>
      </c>
    </row>
    <row r="99" spans="1:65" ht="20" customHeight="1" x14ac:dyDescent="0.3">
      <c r="A99" s="69"/>
      <c r="B99" t="s">
        <v>319</v>
      </c>
      <c r="C99" s="4" t="s">
        <v>19</v>
      </c>
      <c r="D99" t="s">
        <v>320</v>
      </c>
      <c r="E99" s="4" t="s">
        <v>128</v>
      </c>
      <c r="F99" s="4" t="s">
        <v>321</v>
      </c>
      <c r="G99" s="4" t="s">
        <v>322</v>
      </c>
      <c r="H99" s="6" t="s">
        <v>323</v>
      </c>
      <c r="I99" s="53" t="s">
        <v>25</v>
      </c>
      <c r="J99" s="46"/>
      <c r="K99" t="s">
        <v>511</v>
      </c>
      <c r="L99" s="25" t="s">
        <v>62</v>
      </c>
      <c r="M99">
        <v>1</v>
      </c>
      <c r="N99">
        <v>1</v>
      </c>
      <c r="O99">
        <v>0</v>
      </c>
      <c r="P99">
        <f t="shared" si="1"/>
        <v>2</v>
      </c>
      <c r="Q99" s="11" t="s">
        <v>512</v>
      </c>
    </row>
    <row r="100" spans="1:65" s="15" customFormat="1" ht="20" customHeight="1" x14ac:dyDescent="0.3">
      <c r="A100" s="70"/>
      <c r="B100" s="15" t="s">
        <v>237</v>
      </c>
      <c r="C100" s="14" t="s">
        <v>19</v>
      </c>
      <c r="D100" s="15" t="s">
        <v>219</v>
      </c>
      <c r="E100" s="15" t="s">
        <v>113</v>
      </c>
      <c r="F100" s="14" t="s">
        <v>238</v>
      </c>
      <c r="G100" s="14" t="s">
        <v>239</v>
      </c>
      <c r="H100" s="15" t="s">
        <v>223</v>
      </c>
      <c r="I100" s="42" t="s">
        <v>25</v>
      </c>
      <c r="J100" s="46"/>
      <c r="K100" s="14" t="s">
        <v>513</v>
      </c>
      <c r="L100" s="20" t="s">
        <v>28</v>
      </c>
      <c r="M100" s="15">
        <v>1</v>
      </c>
      <c r="N100" s="15">
        <v>1</v>
      </c>
      <c r="O100" s="15">
        <v>0</v>
      </c>
      <c r="P100" s="15">
        <f t="shared" si="1"/>
        <v>2</v>
      </c>
      <c r="Q100" s="21" t="s">
        <v>514</v>
      </c>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row>
    <row r="101" spans="1:65" ht="20" customHeight="1" x14ac:dyDescent="0.3">
      <c r="A101" s="69" t="s">
        <v>515</v>
      </c>
      <c r="B101" t="s">
        <v>516</v>
      </c>
      <c r="C101" s="4" t="s">
        <v>44</v>
      </c>
      <c r="D101" t="s">
        <v>219</v>
      </c>
      <c r="E101" t="s">
        <v>113</v>
      </c>
      <c r="F101" t="s">
        <v>517</v>
      </c>
      <c r="G101" t="s">
        <v>518</v>
      </c>
      <c r="H101" s="6" t="s">
        <v>519</v>
      </c>
      <c r="I101" s="53" t="s">
        <v>25</v>
      </c>
      <c r="J101" s="46"/>
      <c r="K101" s="4" t="s">
        <v>520</v>
      </c>
      <c r="L101" s="10" t="s">
        <v>28</v>
      </c>
      <c r="M101">
        <v>1</v>
      </c>
      <c r="N101">
        <v>1</v>
      </c>
      <c r="O101">
        <v>0</v>
      </c>
      <c r="P101">
        <f t="shared" si="1"/>
        <v>2</v>
      </c>
      <c r="Q101" s="11" t="s">
        <v>521</v>
      </c>
    </row>
    <row r="102" spans="1:65" s="15" customFormat="1" ht="20" customHeight="1" x14ac:dyDescent="0.3">
      <c r="A102" s="70"/>
      <c r="B102" s="15" t="s">
        <v>326</v>
      </c>
      <c r="C102" s="14" t="s">
        <v>19</v>
      </c>
      <c r="D102" s="15" t="s">
        <v>293</v>
      </c>
      <c r="E102" s="14" t="s">
        <v>220</v>
      </c>
      <c r="F102" s="14" t="s">
        <v>327</v>
      </c>
      <c r="G102" s="14" t="s">
        <v>328</v>
      </c>
      <c r="H102" s="16" t="s">
        <v>329</v>
      </c>
      <c r="I102" s="51" t="s">
        <v>330</v>
      </c>
      <c r="J102" s="46"/>
      <c r="K102" s="21" t="s">
        <v>522</v>
      </c>
      <c r="L102" s="20" t="s">
        <v>28</v>
      </c>
      <c r="M102" s="15">
        <v>1</v>
      </c>
      <c r="N102" s="15">
        <v>1</v>
      </c>
      <c r="O102" s="15">
        <v>0</v>
      </c>
      <c r="P102" s="15">
        <f t="shared" si="1"/>
        <v>2</v>
      </c>
      <c r="Q102" s="21" t="s">
        <v>523</v>
      </c>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row>
    <row r="103" spans="1:65" ht="20" customHeight="1" x14ac:dyDescent="0.3">
      <c r="A103" s="69" t="s">
        <v>524</v>
      </c>
      <c r="B103" t="s">
        <v>319</v>
      </c>
      <c r="C103" s="4" t="s">
        <v>19</v>
      </c>
      <c r="D103" t="s">
        <v>320</v>
      </c>
      <c r="E103" s="4" t="s">
        <v>128</v>
      </c>
      <c r="F103" s="4" t="s">
        <v>321</v>
      </c>
      <c r="G103" s="4" t="s">
        <v>322</v>
      </c>
      <c r="H103" s="6" t="s">
        <v>323</v>
      </c>
      <c r="I103" s="53" t="s">
        <v>25</v>
      </c>
      <c r="J103" s="46"/>
      <c r="K103" t="s">
        <v>525</v>
      </c>
      <c r="L103" s="25" t="s">
        <v>62</v>
      </c>
      <c r="M103">
        <v>1</v>
      </c>
      <c r="N103">
        <v>1</v>
      </c>
      <c r="O103">
        <v>0</v>
      </c>
      <c r="P103">
        <f t="shared" si="1"/>
        <v>2</v>
      </c>
      <c r="Q103" s="11" t="s">
        <v>526</v>
      </c>
    </row>
    <row r="104" spans="1:65" ht="20" customHeight="1" x14ac:dyDescent="0.3">
      <c r="A104" s="69"/>
      <c r="B104" t="s">
        <v>516</v>
      </c>
      <c r="C104" s="4" t="s">
        <v>44</v>
      </c>
      <c r="D104" t="s">
        <v>219</v>
      </c>
      <c r="E104" t="s">
        <v>113</v>
      </c>
      <c r="F104" t="s">
        <v>517</v>
      </c>
      <c r="G104" t="s">
        <v>518</v>
      </c>
      <c r="H104" s="6" t="s">
        <v>519</v>
      </c>
      <c r="I104" s="54" t="s">
        <v>330</v>
      </c>
      <c r="J104" s="46"/>
      <c r="K104" t="s">
        <v>527</v>
      </c>
      <c r="L104" s="10" t="s">
        <v>28</v>
      </c>
      <c r="M104">
        <v>0</v>
      </c>
      <c r="N104">
        <v>0</v>
      </c>
      <c r="O104">
        <v>0</v>
      </c>
      <c r="P104">
        <f t="shared" si="1"/>
        <v>0</v>
      </c>
      <c r="Q104" s="11" t="s">
        <v>528</v>
      </c>
    </row>
    <row r="105" spans="1:65" s="15" customFormat="1" ht="20" customHeight="1" x14ac:dyDescent="0.3">
      <c r="A105" s="70"/>
      <c r="B105" s="15" t="s">
        <v>326</v>
      </c>
      <c r="C105" s="14" t="s">
        <v>19</v>
      </c>
      <c r="D105" s="15" t="s">
        <v>293</v>
      </c>
      <c r="E105" s="14" t="s">
        <v>220</v>
      </c>
      <c r="F105" s="14" t="s">
        <v>327</v>
      </c>
      <c r="G105" s="14" t="s">
        <v>328</v>
      </c>
      <c r="H105" s="16" t="s">
        <v>329</v>
      </c>
      <c r="I105" s="51" t="s">
        <v>330</v>
      </c>
      <c r="J105" s="46"/>
      <c r="K105" s="15" t="s">
        <v>529</v>
      </c>
      <c r="L105" s="20" t="s">
        <v>28</v>
      </c>
      <c r="M105" s="15">
        <v>0</v>
      </c>
      <c r="N105" s="15">
        <v>0</v>
      </c>
      <c r="O105" s="15">
        <v>0</v>
      </c>
      <c r="P105" s="15">
        <f t="shared" si="1"/>
        <v>0</v>
      </c>
      <c r="Q105" s="21" t="s">
        <v>530</v>
      </c>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row>
    <row r="106" spans="1:65" ht="20" customHeight="1" x14ac:dyDescent="0.3">
      <c r="A106" s="69" t="s">
        <v>531</v>
      </c>
      <c r="B106" t="s">
        <v>516</v>
      </c>
      <c r="C106" s="4" t="s">
        <v>44</v>
      </c>
      <c r="D106" t="s">
        <v>219</v>
      </c>
      <c r="E106" t="s">
        <v>113</v>
      </c>
      <c r="F106" t="s">
        <v>517</v>
      </c>
      <c r="G106" t="s">
        <v>518</v>
      </c>
      <c r="H106" s="6" t="s">
        <v>519</v>
      </c>
      <c r="I106" s="53" t="s">
        <v>25</v>
      </c>
      <c r="J106" s="46"/>
      <c r="K106" s="4" t="s">
        <v>532</v>
      </c>
      <c r="L106" s="10" t="s">
        <v>28</v>
      </c>
      <c r="M106">
        <v>1</v>
      </c>
      <c r="N106">
        <v>1</v>
      </c>
      <c r="O106">
        <v>0</v>
      </c>
      <c r="P106">
        <f t="shared" si="1"/>
        <v>2</v>
      </c>
      <c r="Q106" s="11" t="s">
        <v>533</v>
      </c>
    </row>
    <row r="107" spans="1:65" s="15" customFormat="1" ht="20" customHeight="1" x14ac:dyDescent="0.3">
      <c r="A107" s="70"/>
      <c r="B107" s="15" t="s">
        <v>292</v>
      </c>
      <c r="C107" s="14" t="s">
        <v>19</v>
      </c>
      <c r="D107" s="15" t="s">
        <v>293</v>
      </c>
      <c r="E107" s="14" t="s">
        <v>91</v>
      </c>
      <c r="F107" s="15" t="s">
        <v>294</v>
      </c>
      <c r="G107" s="14" t="s">
        <v>295</v>
      </c>
      <c r="H107" s="16" t="s">
        <v>296</v>
      </c>
      <c r="I107" s="42" t="s">
        <v>25</v>
      </c>
      <c r="J107" s="46"/>
      <c r="K107" s="14" t="s">
        <v>534</v>
      </c>
      <c r="L107" s="31" t="s">
        <v>62</v>
      </c>
      <c r="M107" s="15">
        <v>1</v>
      </c>
      <c r="N107" s="15">
        <v>1</v>
      </c>
      <c r="O107" s="15">
        <v>0</v>
      </c>
      <c r="P107" s="15">
        <f t="shared" si="1"/>
        <v>2</v>
      </c>
      <c r="Q107" s="21" t="s">
        <v>535</v>
      </c>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row>
    <row r="108" spans="1:65" s="15" customFormat="1" ht="20" customHeight="1" x14ac:dyDescent="0.3">
      <c r="A108" s="70" t="s">
        <v>536</v>
      </c>
      <c r="B108" s="15" t="s">
        <v>516</v>
      </c>
      <c r="C108" s="14" t="s">
        <v>44</v>
      </c>
      <c r="D108" s="15" t="s">
        <v>219</v>
      </c>
      <c r="E108" s="15" t="s">
        <v>113</v>
      </c>
      <c r="F108" s="15" t="s">
        <v>517</v>
      </c>
      <c r="G108" s="15" t="s">
        <v>518</v>
      </c>
      <c r="H108" s="16" t="s">
        <v>519</v>
      </c>
      <c r="I108" s="51" t="s">
        <v>330</v>
      </c>
      <c r="J108" s="46"/>
      <c r="K108" s="14" t="s">
        <v>537</v>
      </c>
      <c r="L108" s="20" t="s">
        <v>28</v>
      </c>
      <c r="M108" s="15">
        <v>0</v>
      </c>
      <c r="N108" s="15">
        <v>0</v>
      </c>
      <c r="O108" s="15">
        <v>0</v>
      </c>
      <c r="P108" s="15">
        <f t="shared" si="1"/>
        <v>0</v>
      </c>
      <c r="Q108" s="21" t="s">
        <v>538</v>
      </c>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row>
    <row r="109" spans="1:65" s="15" customFormat="1" ht="20" customHeight="1" x14ac:dyDescent="0.3">
      <c r="A109" s="70" t="s">
        <v>539</v>
      </c>
      <c r="B109" s="15" t="s">
        <v>516</v>
      </c>
      <c r="C109" s="14" t="s">
        <v>44</v>
      </c>
      <c r="D109" s="15" t="s">
        <v>219</v>
      </c>
      <c r="E109" s="15" t="s">
        <v>113</v>
      </c>
      <c r="F109" s="15" t="s">
        <v>517</v>
      </c>
      <c r="G109" s="15" t="s">
        <v>518</v>
      </c>
      <c r="H109" s="16" t="s">
        <v>519</v>
      </c>
      <c r="I109" s="51" t="s">
        <v>330</v>
      </c>
      <c r="J109" s="46"/>
      <c r="K109" s="16" t="s">
        <v>540</v>
      </c>
      <c r="L109" s="20" t="s">
        <v>28</v>
      </c>
      <c r="M109" s="15">
        <v>1</v>
      </c>
      <c r="N109" s="15">
        <v>1</v>
      </c>
      <c r="O109" s="15">
        <v>0</v>
      </c>
      <c r="P109" s="15">
        <f t="shared" si="1"/>
        <v>2</v>
      </c>
      <c r="Q109" s="21" t="s">
        <v>541</v>
      </c>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row>
    <row r="110" spans="1:65" s="15" customFormat="1" ht="20" customHeight="1" x14ac:dyDescent="0.3">
      <c r="A110" s="70" t="s">
        <v>542</v>
      </c>
      <c r="B110" s="15" t="s">
        <v>516</v>
      </c>
      <c r="C110" s="14" t="s">
        <v>44</v>
      </c>
      <c r="D110" s="15" t="s">
        <v>219</v>
      </c>
      <c r="E110" s="15" t="s">
        <v>113</v>
      </c>
      <c r="F110" s="15" t="s">
        <v>517</v>
      </c>
      <c r="G110" s="15" t="s">
        <v>518</v>
      </c>
      <c r="H110" s="16" t="s">
        <v>519</v>
      </c>
      <c r="I110" s="51" t="s">
        <v>330</v>
      </c>
      <c r="J110" s="46"/>
      <c r="K110" s="16" t="s">
        <v>543</v>
      </c>
      <c r="L110" s="20" t="s">
        <v>28</v>
      </c>
      <c r="M110" s="15">
        <v>0</v>
      </c>
      <c r="N110" s="15">
        <v>0</v>
      </c>
      <c r="O110" s="15">
        <v>0</v>
      </c>
      <c r="P110" s="15">
        <f t="shared" si="1"/>
        <v>0</v>
      </c>
      <c r="Q110" s="21" t="s">
        <v>544</v>
      </c>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row>
    <row r="111" spans="1:65" ht="20" customHeight="1" x14ac:dyDescent="0.3">
      <c r="A111" s="69" t="s">
        <v>545</v>
      </c>
      <c r="B111" t="s">
        <v>149</v>
      </c>
      <c r="C111" s="4" t="s">
        <v>44</v>
      </c>
      <c r="D111" t="s">
        <v>136</v>
      </c>
      <c r="E111" s="4" t="s">
        <v>21</v>
      </c>
      <c r="F111" s="4" t="s">
        <v>150</v>
      </c>
      <c r="G111" s="4" t="s">
        <v>151</v>
      </c>
      <c r="H111" s="11" t="s">
        <v>146</v>
      </c>
      <c r="I111" s="53" t="s">
        <v>25</v>
      </c>
      <c r="J111" s="46"/>
      <c r="K111" s="4" t="s">
        <v>546</v>
      </c>
      <c r="L111" s="10" t="s">
        <v>28</v>
      </c>
      <c r="M111">
        <v>1</v>
      </c>
      <c r="N111">
        <v>1</v>
      </c>
      <c r="O111">
        <v>0</v>
      </c>
      <c r="P111">
        <f t="shared" si="1"/>
        <v>2</v>
      </c>
      <c r="Q111" s="11" t="s">
        <v>547</v>
      </c>
    </row>
    <row r="112" spans="1:65" s="15" customFormat="1" ht="20" customHeight="1" x14ac:dyDescent="0.3">
      <c r="A112" s="70"/>
      <c r="B112" s="15" t="s">
        <v>516</v>
      </c>
      <c r="C112" s="14" t="s">
        <v>44</v>
      </c>
      <c r="D112" s="15" t="s">
        <v>219</v>
      </c>
      <c r="E112" s="15" t="s">
        <v>113</v>
      </c>
      <c r="F112" s="15" t="s">
        <v>517</v>
      </c>
      <c r="G112" s="15" t="s">
        <v>518</v>
      </c>
      <c r="H112" s="16" t="s">
        <v>519</v>
      </c>
      <c r="I112" s="51" t="s">
        <v>330</v>
      </c>
      <c r="J112" s="46"/>
      <c r="K112" s="16" t="s">
        <v>548</v>
      </c>
      <c r="L112" s="20" t="s">
        <v>28</v>
      </c>
      <c r="M112" s="15">
        <v>1</v>
      </c>
      <c r="N112" s="15">
        <v>0</v>
      </c>
      <c r="O112" s="15">
        <v>1</v>
      </c>
      <c r="P112" s="15">
        <f t="shared" si="1"/>
        <v>2</v>
      </c>
      <c r="Q112" s="21" t="s">
        <v>549</v>
      </c>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row>
    <row r="113" spans="1:65" ht="20" customHeight="1" x14ac:dyDescent="0.3">
      <c r="A113" s="69" t="s">
        <v>550</v>
      </c>
      <c r="B113" t="s">
        <v>149</v>
      </c>
      <c r="C113" s="4" t="s">
        <v>44</v>
      </c>
      <c r="D113" t="s">
        <v>136</v>
      </c>
      <c r="E113" s="4" t="s">
        <v>21</v>
      </c>
      <c r="F113" s="4" t="s">
        <v>150</v>
      </c>
      <c r="G113" s="4" t="s">
        <v>151</v>
      </c>
      <c r="H113" s="11" t="s">
        <v>146</v>
      </c>
      <c r="I113" s="53" t="s">
        <v>25</v>
      </c>
      <c r="J113" s="46"/>
      <c r="K113" s="4" t="s">
        <v>551</v>
      </c>
      <c r="L113" s="10" t="s">
        <v>28</v>
      </c>
      <c r="M113">
        <v>0</v>
      </c>
      <c r="N113">
        <v>0</v>
      </c>
      <c r="O113">
        <v>0</v>
      </c>
      <c r="P113">
        <f t="shared" si="1"/>
        <v>0</v>
      </c>
      <c r="Q113" s="11" t="s">
        <v>552</v>
      </c>
    </row>
    <row r="114" spans="1:65" s="15" customFormat="1" ht="20" customHeight="1" x14ac:dyDescent="0.3">
      <c r="A114" s="70"/>
      <c r="B114" s="15" t="s">
        <v>516</v>
      </c>
      <c r="C114" s="14" t="s">
        <v>44</v>
      </c>
      <c r="D114" s="15" t="s">
        <v>219</v>
      </c>
      <c r="E114" s="15" t="s">
        <v>113</v>
      </c>
      <c r="F114" s="15" t="s">
        <v>517</v>
      </c>
      <c r="G114" s="15" t="s">
        <v>518</v>
      </c>
      <c r="H114" s="16" t="s">
        <v>519</v>
      </c>
      <c r="I114" s="51" t="s">
        <v>330</v>
      </c>
      <c r="J114" s="48"/>
      <c r="K114" s="16" t="s">
        <v>553</v>
      </c>
      <c r="L114" s="20" t="s">
        <v>28</v>
      </c>
      <c r="M114" s="15">
        <v>1</v>
      </c>
      <c r="N114" s="15">
        <v>1</v>
      </c>
      <c r="O114" s="15">
        <v>0</v>
      </c>
      <c r="P114" s="15">
        <f t="shared" si="1"/>
        <v>2</v>
      </c>
      <c r="Q114" s="21" t="s">
        <v>554</v>
      </c>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row>
    <row r="115" spans="1:65" ht="20" customHeight="1" x14ac:dyDescent="0.3">
      <c r="A115" s="44" t="s">
        <v>555</v>
      </c>
      <c r="B115" s="4" t="s">
        <v>556</v>
      </c>
      <c r="C115" s="4" t="s">
        <v>44</v>
      </c>
      <c r="D115" t="s">
        <v>557</v>
      </c>
      <c r="E115" t="s">
        <v>113</v>
      </c>
      <c r="F115" t="s">
        <v>558</v>
      </c>
      <c r="G115" t="s">
        <v>559</v>
      </c>
      <c r="H115" s="11" t="s">
        <v>560</v>
      </c>
      <c r="I115" s="53" t="s">
        <v>25</v>
      </c>
      <c r="J115" s="45" t="s">
        <v>561</v>
      </c>
      <c r="K115" t="s">
        <v>562</v>
      </c>
      <c r="L115" s="10" t="s">
        <v>28</v>
      </c>
      <c r="M115">
        <v>1</v>
      </c>
      <c r="N115">
        <v>1</v>
      </c>
      <c r="O115">
        <v>0</v>
      </c>
      <c r="P115">
        <f t="shared" si="1"/>
        <v>2</v>
      </c>
      <c r="Q115" s="11" t="s">
        <v>563</v>
      </c>
    </row>
    <row r="116" spans="1:65" ht="20" customHeight="1" x14ac:dyDescent="0.3">
      <c r="A116" s="44"/>
      <c r="B116" s="4" t="s">
        <v>564</v>
      </c>
      <c r="C116" s="4" t="s">
        <v>44</v>
      </c>
      <c r="D116" t="s">
        <v>557</v>
      </c>
      <c r="E116" t="s">
        <v>113</v>
      </c>
      <c r="F116" t="s">
        <v>565</v>
      </c>
      <c r="G116" t="s">
        <v>566</v>
      </c>
      <c r="H116" s="11" t="s">
        <v>560</v>
      </c>
      <c r="I116" s="53" t="s">
        <v>25</v>
      </c>
      <c r="J116" s="46"/>
      <c r="K116" s="11" t="s">
        <v>567</v>
      </c>
      <c r="L116" s="10" t="s">
        <v>28</v>
      </c>
      <c r="M116">
        <v>1</v>
      </c>
      <c r="N116">
        <v>1</v>
      </c>
      <c r="O116">
        <v>0</v>
      </c>
      <c r="P116">
        <f t="shared" si="1"/>
        <v>2</v>
      </c>
      <c r="Q116" s="11" t="s">
        <v>568</v>
      </c>
    </row>
    <row r="117" spans="1:65" ht="20" customHeight="1" x14ac:dyDescent="0.3">
      <c r="A117" s="44"/>
      <c r="B117" s="4" t="s">
        <v>569</v>
      </c>
      <c r="C117" s="4" t="s">
        <v>44</v>
      </c>
      <c r="D117" t="s">
        <v>557</v>
      </c>
      <c r="E117" t="s">
        <v>113</v>
      </c>
      <c r="F117" t="s">
        <v>570</v>
      </c>
      <c r="G117" t="s">
        <v>571</v>
      </c>
      <c r="H117" s="11" t="s">
        <v>560</v>
      </c>
      <c r="I117" s="53" t="s">
        <v>25</v>
      </c>
      <c r="J117" s="46"/>
      <c r="K117" t="s">
        <v>572</v>
      </c>
      <c r="L117" s="10" t="s">
        <v>28</v>
      </c>
      <c r="M117">
        <v>1</v>
      </c>
      <c r="N117">
        <v>1</v>
      </c>
      <c r="O117">
        <v>0</v>
      </c>
      <c r="P117">
        <f t="shared" si="1"/>
        <v>2</v>
      </c>
      <c r="Q117" s="11" t="s">
        <v>573</v>
      </c>
    </row>
    <row r="118" spans="1:65" ht="20" customHeight="1" x14ac:dyDescent="0.3">
      <c r="A118" s="44"/>
      <c r="B118" s="4" t="s">
        <v>574</v>
      </c>
      <c r="C118" s="4" t="s">
        <v>44</v>
      </c>
      <c r="D118" t="s">
        <v>575</v>
      </c>
      <c r="E118" t="s">
        <v>220</v>
      </c>
      <c r="F118" t="s">
        <v>576</v>
      </c>
      <c r="G118" t="s">
        <v>577</v>
      </c>
      <c r="H118" s="11" t="s">
        <v>578</v>
      </c>
      <c r="I118" s="53" t="s">
        <v>25</v>
      </c>
      <c r="J118" s="46"/>
      <c r="K118" s="4" t="s">
        <v>579</v>
      </c>
      <c r="L118" s="10" t="s">
        <v>28</v>
      </c>
      <c r="M118">
        <v>1</v>
      </c>
      <c r="N118">
        <v>1</v>
      </c>
      <c r="O118">
        <v>1</v>
      </c>
      <c r="P118">
        <f t="shared" si="1"/>
        <v>3</v>
      </c>
      <c r="Q118" s="11" t="s">
        <v>580</v>
      </c>
    </row>
    <row r="119" spans="1:65" ht="20" customHeight="1" x14ac:dyDescent="0.3">
      <c r="A119" s="44"/>
      <c r="B119" s="4" t="s">
        <v>581</v>
      </c>
      <c r="C119" s="4" t="s">
        <v>44</v>
      </c>
      <c r="D119" t="s">
        <v>557</v>
      </c>
      <c r="E119" t="s">
        <v>220</v>
      </c>
      <c r="F119" t="s">
        <v>582</v>
      </c>
      <c r="G119" t="s">
        <v>583</v>
      </c>
      <c r="H119" s="11" t="s">
        <v>560</v>
      </c>
      <c r="I119" s="53" t="s">
        <v>25</v>
      </c>
      <c r="J119" s="46"/>
      <c r="K119" s="4" t="s">
        <v>584</v>
      </c>
      <c r="L119" s="10" t="s">
        <v>28</v>
      </c>
      <c r="M119">
        <v>1</v>
      </c>
      <c r="N119">
        <v>0</v>
      </c>
      <c r="O119">
        <v>0</v>
      </c>
      <c r="P119">
        <f t="shared" si="1"/>
        <v>1</v>
      </c>
      <c r="Q119" s="11" t="s">
        <v>585</v>
      </c>
    </row>
    <row r="120" spans="1:65" ht="20" customHeight="1" x14ac:dyDescent="0.3">
      <c r="A120" s="44"/>
      <c r="B120" s="4" t="s">
        <v>586</v>
      </c>
      <c r="C120" s="4" t="s">
        <v>44</v>
      </c>
      <c r="D120" t="s">
        <v>557</v>
      </c>
      <c r="E120" t="s">
        <v>220</v>
      </c>
      <c r="F120" t="s">
        <v>587</v>
      </c>
      <c r="G120" t="s">
        <v>588</v>
      </c>
      <c r="H120" s="11" t="s">
        <v>560</v>
      </c>
      <c r="I120" s="53" t="s">
        <v>25</v>
      </c>
      <c r="J120" s="46"/>
      <c r="K120" s="4" t="s">
        <v>589</v>
      </c>
      <c r="L120" s="10" t="s">
        <v>28</v>
      </c>
      <c r="M120">
        <v>1</v>
      </c>
      <c r="N120">
        <v>0</v>
      </c>
      <c r="O120">
        <v>0</v>
      </c>
      <c r="P120">
        <f t="shared" si="1"/>
        <v>1</v>
      </c>
      <c r="Q120" s="11" t="s">
        <v>590</v>
      </c>
    </row>
    <row r="121" spans="1:65" ht="20" customHeight="1" x14ac:dyDescent="0.3">
      <c r="A121" s="44"/>
      <c r="B121" s="4" t="s">
        <v>591</v>
      </c>
      <c r="C121" s="4" t="s">
        <v>44</v>
      </c>
      <c r="D121" t="s">
        <v>557</v>
      </c>
      <c r="E121" t="s">
        <v>592</v>
      </c>
      <c r="F121" t="s">
        <v>593</v>
      </c>
      <c r="G121" t="s">
        <v>594</v>
      </c>
      <c r="H121" s="11" t="s">
        <v>560</v>
      </c>
      <c r="I121" s="53" t="s">
        <v>25</v>
      </c>
      <c r="J121" s="46"/>
      <c r="K121" s="4" t="s">
        <v>595</v>
      </c>
      <c r="L121" s="10" t="s">
        <v>28</v>
      </c>
      <c r="M121">
        <v>1</v>
      </c>
      <c r="N121">
        <v>0</v>
      </c>
      <c r="O121">
        <v>0</v>
      </c>
      <c r="P121">
        <f t="shared" si="1"/>
        <v>1</v>
      </c>
      <c r="Q121" s="11" t="s">
        <v>596</v>
      </c>
    </row>
    <row r="122" spans="1:65" ht="20" customHeight="1" x14ac:dyDescent="0.3">
      <c r="A122" s="44"/>
      <c r="B122" s="4" t="s">
        <v>597</v>
      </c>
      <c r="C122" s="4" t="s">
        <v>44</v>
      </c>
      <c r="D122" t="s">
        <v>557</v>
      </c>
      <c r="E122" t="s">
        <v>21</v>
      </c>
      <c r="F122" t="s">
        <v>598</v>
      </c>
      <c r="G122" t="s">
        <v>599</v>
      </c>
      <c r="H122" s="11" t="s">
        <v>560</v>
      </c>
      <c r="I122" s="53" t="s">
        <v>25</v>
      </c>
      <c r="J122" s="46"/>
      <c r="K122" s="4" t="s">
        <v>600</v>
      </c>
      <c r="L122" s="10" t="s">
        <v>28</v>
      </c>
      <c r="M122">
        <v>1</v>
      </c>
      <c r="N122">
        <v>0</v>
      </c>
      <c r="O122">
        <v>0</v>
      </c>
      <c r="P122">
        <f t="shared" si="1"/>
        <v>1</v>
      </c>
      <c r="Q122" s="11" t="s">
        <v>601</v>
      </c>
    </row>
    <row r="123" spans="1:65" s="15" customFormat="1" ht="20" customHeight="1" x14ac:dyDescent="0.3">
      <c r="A123" s="44"/>
      <c r="B123" s="4" t="s">
        <v>602</v>
      </c>
      <c r="C123" s="4" t="s">
        <v>44</v>
      </c>
      <c r="D123" t="s">
        <v>557</v>
      </c>
      <c r="E123" t="s">
        <v>21</v>
      </c>
      <c r="F123" t="s">
        <v>603</v>
      </c>
      <c r="G123" t="s">
        <v>604</v>
      </c>
      <c r="H123" s="11" t="s">
        <v>605</v>
      </c>
      <c r="I123" s="53" t="s">
        <v>25</v>
      </c>
      <c r="J123" s="46"/>
      <c r="K123" s="4" t="s">
        <v>606</v>
      </c>
      <c r="L123" s="10" t="s">
        <v>28</v>
      </c>
      <c r="M123">
        <v>0</v>
      </c>
      <c r="N123">
        <v>0</v>
      </c>
      <c r="O123">
        <v>0</v>
      </c>
      <c r="P123">
        <f t="shared" ref="P123:P187" si="2">M123+N123+O123</f>
        <v>0</v>
      </c>
      <c r="Q123" s="11" t="s">
        <v>607</v>
      </c>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row>
    <row r="124" spans="1:65" ht="20" customHeight="1" x14ac:dyDescent="0.3">
      <c r="A124" s="44"/>
      <c r="B124" s="4" t="s">
        <v>608</v>
      </c>
      <c r="C124" s="4" t="s">
        <v>44</v>
      </c>
      <c r="D124" t="s">
        <v>557</v>
      </c>
      <c r="E124" t="s">
        <v>21</v>
      </c>
      <c r="F124" t="s">
        <v>609</v>
      </c>
      <c r="G124" t="s">
        <v>610</v>
      </c>
      <c r="H124" s="11" t="s">
        <v>611</v>
      </c>
      <c r="I124" s="53" t="s">
        <v>25</v>
      </c>
      <c r="J124" s="46"/>
      <c r="K124" s="4" t="s">
        <v>612</v>
      </c>
      <c r="L124" s="10" t="s">
        <v>28</v>
      </c>
      <c r="M124">
        <v>1</v>
      </c>
      <c r="N124">
        <v>0</v>
      </c>
      <c r="O124">
        <v>0</v>
      </c>
      <c r="P124">
        <f t="shared" si="2"/>
        <v>1</v>
      </c>
      <c r="Q124" s="11" t="s">
        <v>613</v>
      </c>
    </row>
    <row r="125" spans="1:65" ht="20" customHeight="1" x14ac:dyDescent="0.3">
      <c r="A125" s="44"/>
      <c r="B125" s="4" t="s">
        <v>614</v>
      </c>
      <c r="C125" s="4" t="s">
        <v>44</v>
      </c>
      <c r="D125" t="s">
        <v>557</v>
      </c>
      <c r="E125" t="s">
        <v>55</v>
      </c>
      <c r="F125" t="s">
        <v>615</v>
      </c>
      <c r="G125" t="s">
        <v>616</v>
      </c>
      <c r="H125" s="11" t="s">
        <v>611</v>
      </c>
      <c r="I125" s="53" t="s">
        <v>25</v>
      </c>
      <c r="J125" s="46"/>
      <c r="K125" t="s">
        <v>617</v>
      </c>
      <c r="L125" s="25" t="s">
        <v>62</v>
      </c>
      <c r="M125">
        <v>0</v>
      </c>
      <c r="N125">
        <v>0</v>
      </c>
      <c r="O125">
        <v>0</v>
      </c>
      <c r="P125">
        <f t="shared" si="2"/>
        <v>0</v>
      </c>
      <c r="Q125" s="11" t="s">
        <v>618</v>
      </c>
    </row>
    <row r="126" spans="1:65" ht="20" customHeight="1" x14ac:dyDescent="0.3">
      <c r="A126" s="44"/>
      <c r="B126" s="4" t="s">
        <v>619</v>
      </c>
      <c r="C126" s="4" t="s">
        <v>44</v>
      </c>
      <c r="D126" t="s">
        <v>620</v>
      </c>
      <c r="E126" t="s">
        <v>186</v>
      </c>
      <c r="F126" t="s">
        <v>621</v>
      </c>
      <c r="G126" t="s">
        <v>622</v>
      </c>
      <c r="H126" s="11" t="s">
        <v>611</v>
      </c>
      <c r="I126" s="53" t="s">
        <v>25</v>
      </c>
      <c r="J126" s="46"/>
      <c r="K126" t="s">
        <v>623</v>
      </c>
      <c r="L126" s="10" t="s">
        <v>28</v>
      </c>
      <c r="M126">
        <v>0</v>
      </c>
      <c r="N126">
        <v>0</v>
      </c>
      <c r="O126">
        <v>0</v>
      </c>
      <c r="P126">
        <f t="shared" si="2"/>
        <v>0</v>
      </c>
      <c r="Q126" s="11" t="s">
        <v>624</v>
      </c>
    </row>
    <row r="127" spans="1:65" ht="20" customHeight="1" x14ac:dyDescent="0.3">
      <c r="A127" s="44"/>
      <c r="B127" s="4" t="s">
        <v>625</v>
      </c>
      <c r="C127" s="4" t="s">
        <v>44</v>
      </c>
      <c r="D127" t="s">
        <v>626</v>
      </c>
      <c r="E127" t="s">
        <v>21</v>
      </c>
      <c r="F127" t="s">
        <v>627</v>
      </c>
      <c r="G127" t="s">
        <v>434</v>
      </c>
      <c r="H127" s="11" t="s">
        <v>611</v>
      </c>
      <c r="I127" s="53" t="s">
        <v>25</v>
      </c>
      <c r="J127" s="46"/>
      <c r="K127" t="s">
        <v>628</v>
      </c>
      <c r="L127" s="10" t="s">
        <v>28</v>
      </c>
      <c r="M127">
        <v>1</v>
      </c>
      <c r="N127">
        <v>0</v>
      </c>
      <c r="O127">
        <v>0</v>
      </c>
      <c r="P127">
        <f t="shared" si="2"/>
        <v>1</v>
      </c>
      <c r="Q127" s="11" t="s">
        <v>629</v>
      </c>
    </row>
    <row r="128" spans="1:65" ht="20" customHeight="1" x14ac:dyDescent="0.3">
      <c r="A128" s="44"/>
      <c r="B128" s="4" t="s">
        <v>630</v>
      </c>
      <c r="C128" s="4" t="s">
        <v>44</v>
      </c>
      <c r="D128" t="s">
        <v>557</v>
      </c>
      <c r="E128" t="s">
        <v>214</v>
      </c>
      <c r="F128" t="s">
        <v>631</v>
      </c>
      <c r="G128" t="s">
        <v>632</v>
      </c>
      <c r="H128" s="11" t="s">
        <v>611</v>
      </c>
      <c r="I128" s="53" t="s">
        <v>25</v>
      </c>
      <c r="J128" s="46"/>
      <c r="K128" t="s">
        <v>633</v>
      </c>
      <c r="L128" s="10" t="s">
        <v>28</v>
      </c>
      <c r="M128">
        <v>1</v>
      </c>
      <c r="N128">
        <v>0</v>
      </c>
      <c r="O128">
        <v>0</v>
      </c>
      <c r="P128">
        <f t="shared" si="2"/>
        <v>1</v>
      </c>
      <c r="Q128" s="11" t="s">
        <v>634</v>
      </c>
    </row>
    <row r="129" spans="1:65" ht="20" customHeight="1" x14ac:dyDescent="0.3">
      <c r="A129" s="44"/>
      <c r="B129" s="4" t="s">
        <v>635</v>
      </c>
      <c r="C129" s="4" t="s">
        <v>44</v>
      </c>
      <c r="D129" t="s">
        <v>557</v>
      </c>
      <c r="E129" t="s">
        <v>113</v>
      </c>
      <c r="F129" t="s">
        <v>636</v>
      </c>
      <c r="G129" t="s">
        <v>637</v>
      </c>
      <c r="H129" s="11" t="s">
        <v>611</v>
      </c>
      <c r="I129" s="53" t="s">
        <v>25</v>
      </c>
      <c r="J129" s="46"/>
      <c r="K129" t="s">
        <v>638</v>
      </c>
      <c r="L129" s="10" t="s">
        <v>28</v>
      </c>
      <c r="M129">
        <v>1</v>
      </c>
      <c r="N129">
        <v>0</v>
      </c>
      <c r="O129">
        <v>0</v>
      </c>
      <c r="P129">
        <f t="shared" si="2"/>
        <v>1</v>
      </c>
      <c r="Q129" s="11" t="s">
        <v>639</v>
      </c>
    </row>
    <row r="130" spans="1:65" ht="20" customHeight="1" x14ac:dyDescent="0.3">
      <c r="A130" s="44"/>
      <c r="B130" s="4" t="s">
        <v>640</v>
      </c>
      <c r="C130" s="4" t="s">
        <v>44</v>
      </c>
      <c r="D130" t="s">
        <v>641</v>
      </c>
      <c r="E130" t="s">
        <v>55</v>
      </c>
      <c r="F130" t="s">
        <v>642</v>
      </c>
      <c r="G130" t="s">
        <v>643</v>
      </c>
      <c r="H130" s="11" t="s">
        <v>611</v>
      </c>
      <c r="I130" s="53" t="s">
        <v>25</v>
      </c>
      <c r="J130" s="46"/>
      <c r="K130" t="s">
        <v>644</v>
      </c>
      <c r="L130" s="25" t="s">
        <v>62</v>
      </c>
      <c r="M130">
        <v>0</v>
      </c>
      <c r="N130">
        <v>0</v>
      </c>
      <c r="O130">
        <v>0</v>
      </c>
      <c r="P130">
        <f t="shared" si="2"/>
        <v>0</v>
      </c>
      <c r="Q130" s="11" t="s">
        <v>645</v>
      </c>
    </row>
    <row r="131" spans="1:65" s="15" customFormat="1" ht="20" customHeight="1" x14ac:dyDescent="0.3">
      <c r="A131" s="44"/>
      <c r="B131" s="4" t="s">
        <v>646</v>
      </c>
      <c r="C131" s="4" t="s">
        <v>44</v>
      </c>
      <c r="D131" t="s">
        <v>647</v>
      </c>
      <c r="E131" t="s">
        <v>21</v>
      </c>
      <c r="F131" t="s">
        <v>648</v>
      </c>
      <c r="G131" t="s">
        <v>649</v>
      </c>
      <c r="H131" s="11" t="s">
        <v>611</v>
      </c>
      <c r="I131" s="53" t="s">
        <v>25</v>
      </c>
      <c r="J131" s="46"/>
      <c r="K131" t="s">
        <v>650</v>
      </c>
      <c r="L131" s="10" t="s">
        <v>28</v>
      </c>
      <c r="M131">
        <v>0</v>
      </c>
      <c r="N131">
        <v>0</v>
      </c>
      <c r="O131">
        <v>0</v>
      </c>
      <c r="P131">
        <f t="shared" si="2"/>
        <v>0</v>
      </c>
      <c r="Q131" s="11" t="s">
        <v>651</v>
      </c>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row>
    <row r="132" spans="1:65" ht="20" customHeight="1" x14ac:dyDescent="0.3">
      <c r="A132" s="44"/>
      <c r="B132" t="s">
        <v>652</v>
      </c>
      <c r="C132" s="4" t="s">
        <v>44</v>
      </c>
      <c r="D132" t="s">
        <v>383</v>
      </c>
      <c r="E132" t="s">
        <v>653</v>
      </c>
      <c r="F132" t="s">
        <v>654</v>
      </c>
      <c r="G132" t="s">
        <v>655</v>
      </c>
      <c r="H132" s="11" t="s">
        <v>611</v>
      </c>
      <c r="I132" s="53" t="s">
        <v>25</v>
      </c>
      <c r="J132" s="46"/>
      <c r="K132" s="6" t="s">
        <v>656</v>
      </c>
      <c r="L132" s="10" t="s">
        <v>28</v>
      </c>
      <c r="M132">
        <v>0</v>
      </c>
      <c r="N132">
        <v>0</v>
      </c>
      <c r="O132">
        <v>0</v>
      </c>
      <c r="P132">
        <f t="shared" si="2"/>
        <v>0</v>
      </c>
      <c r="Q132" s="11" t="s">
        <v>657</v>
      </c>
    </row>
    <row r="133" spans="1:65" ht="20" customHeight="1" x14ac:dyDescent="0.3">
      <c r="A133" s="44"/>
      <c r="B133" t="s">
        <v>658</v>
      </c>
      <c r="C133" s="4" t="s">
        <v>44</v>
      </c>
      <c r="D133" t="s">
        <v>383</v>
      </c>
      <c r="E133" t="s">
        <v>113</v>
      </c>
      <c r="F133" t="s">
        <v>659</v>
      </c>
      <c r="G133" t="s">
        <v>660</v>
      </c>
      <c r="H133" s="11" t="s">
        <v>611</v>
      </c>
      <c r="I133" s="53" t="s">
        <v>25</v>
      </c>
      <c r="J133" s="46"/>
      <c r="K133" s="6" t="s">
        <v>661</v>
      </c>
      <c r="L133" s="10" t="s">
        <v>28</v>
      </c>
      <c r="M133">
        <v>0</v>
      </c>
      <c r="N133">
        <v>0</v>
      </c>
      <c r="O133">
        <v>0</v>
      </c>
      <c r="P133">
        <f t="shared" si="2"/>
        <v>0</v>
      </c>
      <c r="Q133" s="11" t="s">
        <v>662</v>
      </c>
    </row>
    <row r="134" spans="1:65" s="15" customFormat="1" ht="20" customHeight="1" x14ac:dyDescent="0.3">
      <c r="A134" s="47"/>
      <c r="B134" s="15" t="s">
        <v>663</v>
      </c>
      <c r="C134" s="14" t="s">
        <v>44</v>
      </c>
      <c r="D134" s="15" t="s">
        <v>664</v>
      </c>
      <c r="E134" s="15" t="s">
        <v>186</v>
      </c>
      <c r="F134" s="15" t="s">
        <v>665</v>
      </c>
      <c r="G134" s="15" t="s">
        <v>666</v>
      </c>
      <c r="H134" s="21" t="s">
        <v>667</v>
      </c>
      <c r="I134" s="42" t="s">
        <v>25</v>
      </c>
      <c r="J134" s="48"/>
      <c r="K134" s="16" t="s">
        <v>668</v>
      </c>
      <c r="L134" s="20" t="s">
        <v>28</v>
      </c>
      <c r="M134" s="15">
        <v>0</v>
      </c>
      <c r="N134" s="15">
        <v>1</v>
      </c>
      <c r="O134" s="15">
        <v>1</v>
      </c>
      <c r="P134" s="15">
        <f t="shared" si="2"/>
        <v>2</v>
      </c>
      <c r="Q134" s="21" t="s">
        <v>669</v>
      </c>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row>
    <row r="135" spans="1:65" ht="20" customHeight="1" x14ac:dyDescent="0.3">
      <c r="A135" s="67" t="s">
        <v>670</v>
      </c>
      <c r="B135" t="s">
        <v>663</v>
      </c>
      <c r="C135" s="4" t="s">
        <v>44</v>
      </c>
      <c r="D135" t="s">
        <v>664</v>
      </c>
      <c r="E135" t="s">
        <v>186</v>
      </c>
      <c r="F135" t="s">
        <v>665</v>
      </c>
      <c r="G135" t="s">
        <v>666</v>
      </c>
      <c r="H135" s="11" t="s">
        <v>667</v>
      </c>
      <c r="I135" s="53" t="s">
        <v>25</v>
      </c>
      <c r="J135" s="45" t="s">
        <v>671</v>
      </c>
      <c r="K135" t="s">
        <v>672</v>
      </c>
      <c r="L135" s="10" t="s">
        <v>28</v>
      </c>
      <c r="M135">
        <v>1</v>
      </c>
      <c r="N135">
        <v>1</v>
      </c>
      <c r="O135">
        <v>1</v>
      </c>
      <c r="P135">
        <f t="shared" si="2"/>
        <v>3</v>
      </c>
      <c r="Q135" s="11" t="s">
        <v>673</v>
      </c>
    </row>
    <row r="136" spans="1:65" ht="20" customHeight="1" x14ac:dyDescent="0.3">
      <c r="A136" s="67"/>
      <c r="B136" t="s">
        <v>674</v>
      </c>
      <c r="C136" s="4" t="s">
        <v>44</v>
      </c>
      <c r="D136" s="4" t="s">
        <v>675</v>
      </c>
      <c r="E136" t="s">
        <v>186</v>
      </c>
      <c r="F136" t="s">
        <v>676</v>
      </c>
      <c r="G136" t="s">
        <v>677</v>
      </c>
      <c r="H136" s="6" t="s">
        <v>678</v>
      </c>
      <c r="I136" s="53" t="s">
        <v>25</v>
      </c>
      <c r="J136" s="46"/>
      <c r="K136" s="6" t="s">
        <v>679</v>
      </c>
      <c r="L136" s="10" t="s">
        <v>28</v>
      </c>
      <c r="M136">
        <v>1</v>
      </c>
      <c r="N136">
        <v>1</v>
      </c>
      <c r="O136">
        <v>1</v>
      </c>
      <c r="P136">
        <f t="shared" si="2"/>
        <v>3</v>
      </c>
      <c r="Q136" s="11" t="s">
        <v>680</v>
      </c>
    </row>
    <row r="137" spans="1:65" ht="20" customHeight="1" x14ac:dyDescent="0.3">
      <c r="A137" s="67"/>
      <c r="B137" t="s">
        <v>681</v>
      </c>
      <c r="C137" s="4" t="s">
        <v>44</v>
      </c>
      <c r="D137" s="4" t="s">
        <v>675</v>
      </c>
      <c r="E137" t="s">
        <v>186</v>
      </c>
      <c r="F137" t="s">
        <v>682</v>
      </c>
      <c r="G137" t="s">
        <v>683</v>
      </c>
      <c r="H137" s="6" t="s">
        <v>678</v>
      </c>
      <c r="I137" s="53" t="s">
        <v>25</v>
      </c>
      <c r="J137" s="46"/>
      <c r="K137" s="4" t="s">
        <v>684</v>
      </c>
      <c r="L137" s="10" t="s">
        <v>28</v>
      </c>
      <c r="M137">
        <v>1</v>
      </c>
      <c r="N137">
        <v>1</v>
      </c>
      <c r="O137">
        <v>1</v>
      </c>
      <c r="P137">
        <f t="shared" si="2"/>
        <v>3</v>
      </c>
      <c r="Q137" s="11" t="s">
        <v>685</v>
      </c>
    </row>
    <row r="138" spans="1:65" ht="20" customHeight="1" x14ac:dyDescent="0.3">
      <c r="A138" s="67"/>
      <c r="B138" t="s">
        <v>686</v>
      </c>
      <c r="C138" s="4" t="s">
        <v>44</v>
      </c>
      <c r="D138" s="4" t="s">
        <v>675</v>
      </c>
      <c r="E138" t="s">
        <v>186</v>
      </c>
      <c r="F138" t="s">
        <v>687</v>
      </c>
      <c r="G138" t="s">
        <v>688</v>
      </c>
      <c r="H138" s="6" t="s">
        <v>678</v>
      </c>
      <c r="I138" s="53" t="s">
        <v>25</v>
      </c>
      <c r="J138" s="46"/>
      <c r="K138" s="6" t="s">
        <v>689</v>
      </c>
      <c r="L138" s="10" t="s">
        <v>28</v>
      </c>
      <c r="M138">
        <v>1</v>
      </c>
      <c r="N138">
        <v>0</v>
      </c>
      <c r="O138">
        <v>0</v>
      </c>
      <c r="P138">
        <f t="shared" si="2"/>
        <v>1</v>
      </c>
      <c r="Q138" s="11" t="s">
        <v>690</v>
      </c>
    </row>
    <row r="139" spans="1:65" ht="20" customHeight="1" x14ac:dyDescent="0.3">
      <c r="A139" s="67"/>
      <c r="B139" t="s">
        <v>691</v>
      </c>
      <c r="C139" s="4" t="s">
        <v>44</v>
      </c>
      <c r="D139" s="4" t="s">
        <v>675</v>
      </c>
      <c r="E139" t="s">
        <v>186</v>
      </c>
      <c r="F139" t="s">
        <v>692</v>
      </c>
      <c r="G139" t="s">
        <v>693</v>
      </c>
      <c r="H139" s="6" t="s">
        <v>678</v>
      </c>
      <c r="I139" s="53" t="s">
        <v>25</v>
      </c>
      <c r="J139" s="46"/>
      <c r="K139" s="6" t="s">
        <v>694</v>
      </c>
      <c r="L139" s="10" t="s">
        <v>28</v>
      </c>
      <c r="M139">
        <v>1</v>
      </c>
      <c r="N139">
        <v>0</v>
      </c>
      <c r="O139">
        <v>0</v>
      </c>
      <c r="P139">
        <f t="shared" si="2"/>
        <v>1</v>
      </c>
      <c r="Q139" s="11" t="s">
        <v>695</v>
      </c>
    </row>
    <row r="140" spans="1:65" ht="20" customHeight="1" x14ac:dyDescent="0.3">
      <c r="A140" s="67"/>
      <c r="B140" t="s">
        <v>696</v>
      </c>
      <c r="C140" s="4" t="s">
        <v>44</v>
      </c>
      <c r="D140" s="4" t="s">
        <v>675</v>
      </c>
      <c r="E140" t="s">
        <v>172</v>
      </c>
      <c r="F140" t="s">
        <v>697</v>
      </c>
      <c r="G140" t="s">
        <v>698</v>
      </c>
      <c r="H140" s="6" t="s">
        <v>699</v>
      </c>
      <c r="I140" s="53" t="s">
        <v>25</v>
      </c>
      <c r="J140" s="46"/>
      <c r="K140" t="s">
        <v>700</v>
      </c>
      <c r="L140" s="10" t="s">
        <v>28</v>
      </c>
      <c r="M140">
        <v>1</v>
      </c>
      <c r="N140">
        <v>1</v>
      </c>
      <c r="O140">
        <v>1</v>
      </c>
      <c r="P140">
        <f t="shared" si="2"/>
        <v>3</v>
      </c>
      <c r="Q140" s="11" t="s">
        <v>701</v>
      </c>
    </row>
    <row r="141" spans="1:65" ht="20" customHeight="1" x14ac:dyDescent="0.3">
      <c r="A141" s="67"/>
      <c r="B141" t="s">
        <v>702</v>
      </c>
      <c r="C141" s="4" t="s">
        <v>44</v>
      </c>
      <c r="D141" s="4" t="s">
        <v>675</v>
      </c>
      <c r="E141" t="s">
        <v>186</v>
      </c>
      <c r="F141" t="s">
        <v>703</v>
      </c>
      <c r="G141" t="s">
        <v>704</v>
      </c>
      <c r="H141" s="6" t="s">
        <v>699</v>
      </c>
      <c r="I141" s="53" t="s">
        <v>25</v>
      </c>
      <c r="J141" s="46"/>
      <c r="K141" t="s">
        <v>705</v>
      </c>
      <c r="L141" s="10" t="s">
        <v>28</v>
      </c>
      <c r="M141">
        <v>0</v>
      </c>
      <c r="N141">
        <v>0</v>
      </c>
      <c r="O141">
        <v>1</v>
      </c>
      <c r="P141">
        <f t="shared" si="2"/>
        <v>1</v>
      </c>
      <c r="Q141" s="11" t="s">
        <v>706</v>
      </c>
    </row>
    <row r="142" spans="1:65" ht="20" customHeight="1" x14ac:dyDescent="0.3">
      <c r="A142" s="67"/>
      <c r="B142" t="s">
        <v>707</v>
      </c>
      <c r="C142" s="4" t="s">
        <v>44</v>
      </c>
      <c r="D142" s="4" t="s">
        <v>675</v>
      </c>
      <c r="E142" t="s">
        <v>172</v>
      </c>
      <c r="F142" t="s">
        <v>708</v>
      </c>
      <c r="G142" t="s">
        <v>709</v>
      </c>
      <c r="H142" s="6" t="s">
        <v>699</v>
      </c>
      <c r="I142" s="53" t="s">
        <v>25</v>
      </c>
      <c r="J142" s="46"/>
      <c r="K142" s="6" t="s">
        <v>710</v>
      </c>
      <c r="L142" s="10" t="s">
        <v>28</v>
      </c>
      <c r="M142">
        <v>0</v>
      </c>
      <c r="N142">
        <v>0</v>
      </c>
      <c r="O142">
        <v>1</v>
      </c>
      <c r="P142">
        <f t="shared" si="2"/>
        <v>1</v>
      </c>
      <c r="Q142" s="11" t="s">
        <v>711</v>
      </c>
    </row>
    <row r="143" spans="1:65" ht="20" customHeight="1" x14ac:dyDescent="0.3">
      <c r="A143" s="67"/>
      <c r="B143" s="71" t="s">
        <v>712</v>
      </c>
      <c r="C143" s="4" t="s">
        <v>44</v>
      </c>
      <c r="D143" s="4" t="s">
        <v>675</v>
      </c>
      <c r="E143" t="s">
        <v>186</v>
      </c>
      <c r="F143" t="s">
        <v>713</v>
      </c>
      <c r="G143" t="s">
        <v>714</v>
      </c>
      <c r="H143" s="6" t="s">
        <v>699</v>
      </c>
      <c r="I143" s="53" t="s">
        <v>25</v>
      </c>
      <c r="J143" s="46"/>
      <c r="K143" t="s">
        <v>715</v>
      </c>
      <c r="L143" s="10" t="s">
        <v>28</v>
      </c>
      <c r="M143">
        <v>0</v>
      </c>
      <c r="N143">
        <v>0</v>
      </c>
      <c r="O143">
        <v>1</v>
      </c>
      <c r="P143">
        <f t="shared" si="2"/>
        <v>1</v>
      </c>
      <c r="Q143" s="11" t="s">
        <v>716</v>
      </c>
    </row>
    <row r="144" spans="1:65" ht="20" customHeight="1" x14ac:dyDescent="0.3">
      <c r="A144" s="67"/>
      <c r="B144" t="s">
        <v>717</v>
      </c>
      <c r="C144" s="4" t="s">
        <v>44</v>
      </c>
      <c r="D144" s="4" t="s">
        <v>675</v>
      </c>
      <c r="E144" t="s">
        <v>186</v>
      </c>
      <c r="F144" t="s">
        <v>718</v>
      </c>
      <c r="G144" t="s">
        <v>719</v>
      </c>
      <c r="H144" s="6" t="s">
        <v>699</v>
      </c>
      <c r="I144" s="53" t="s">
        <v>25</v>
      </c>
      <c r="J144" s="46"/>
      <c r="K144" s="6" t="s">
        <v>720</v>
      </c>
      <c r="L144" s="10" t="s">
        <v>28</v>
      </c>
      <c r="M144">
        <v>0</v>
      </c>
      <c r="N144">
        <v>0</v>
      </c>
      <c r="O144">
        <v>1</v>
      </c>
      <c r="P144">
        <f t="shared" si="2"/>
        <v>1</v>
      </c>
      <c r="Q144" s="11" t="s">
        <v>721</v>
      </c>
    </row>
    <row r="145" spans="1:17" ht="20" customHeight="1" x14ac:dyDescent="0.3">
      <c r="A145" s="67"/>
      <c r="B145" t="s">
        <v>722</v>
      </c>
      <c r="C145" s="4" t="s">
        <v>44</v>
      </c>
      <c r="D145" s="4" t="s">
        <v>675</v>
      </c>
      <c r="E145" t="s">
        <v>172</v>
      </c>
      <c r="F145" t="s">
        <v>723</v>
      </c>
      <c r="G145" t="s">
        <v>724</v>
      </c>
      <c r="H145" s="6" t="s">
        <v>699</v>
      </c>
      <c r="I145" s="53" t="s">
        <v>25</v>
      </c>
      <c r="J145" s="46"/>
      <c r="K145" s="6" t="s">
        <v>725</v>
      </c>
      <c r="L145" s="10" t="s">
        <v>28</v>
      </c>
      <c r="M145">
        <v>0</v>
      </c>
      <c r="N145">
        <v>0</v>
      </c>
      <c r="O145">
        <v>1</v>
      </c>
      <c r="P145">
        <f t="shared" si="2"/>
        <v>1</v>
      </c>
      <c r="Q145" s="11" t="s">
        <v>721</v>
      </c>
    </row>
    <row r="146" spans="1:17" ht="20" customHeight="1" x14ac:dyDescent="0.3">
      <c r="A146" s="67"/>
      <c r="B146" t="s">
        <v>726</v>
      </c>
      <c r="C146" s="4" t="s">
        <v>44</v>
      </c>
      <c r="D146" s="4" t="s">
        <v>727</v>
      </c>
      <c r="E146" s="4" t="s">
        <v>55</v>
      </c>
      <c r="F146" t="s">
        <v>728</v>
      </c>
      <c r="G146" t="s">
        <v>729</v>
      </c>
      <c r="H146" s="6" t="s">
        <v>309</v>
      </c>
      <c r="I146" s="53" t="s">
        <v>25</v>
      </c>
      <c r="J146" s="46"/>
      <c r="K146" s="6" t="s">
        <v>730</v>
      </c>
      <c r="L146" s="25" t="s">
        <v>62</v>
      </c>
      <c r="M146">
        <v>1</v>
      </c>
      <c r="N146">
        <v>1</v>
      </c>
      <c r="O146">
        <v>0</v>
      </c>
      <c r="P146">
        <f t="shared" si="2"/>
        <v>2</v>
      </c>
      <c r="Q146" s="11" t="s">
        <v>731</v>
      </c>
    </row>
    <row r="147" spans="1:17" ht="20" customHeight="1" x14ac:dyDescent="0.3">
      <c r="A147" s="67"/>
      <c r="B147" t="s">
        <v>732</v>
      </c>
      <c r="C147" s="4" t="s">
        <v>44</v>
      </c>
      <c r="D147" s="4" t="s">
        <v>727</v>
      </c>
      <c r="E147" s="4" t="s">
        <v>55</v>
      </c>
      <c r="F147" t="s">
        <v>733</v>
      </c>
      <c r="G147" t="s">
        <v>734</v>
      </c>
      <c r="H147" s="6" t="s">
        <v>735</v>
      </c>
      <c r="I147" s="38" t="s">
        <v>59</v>
      </c>
      <c r="J147" s="46"/>
      <c r="K147" s="6" t="s">
        <v>736</v>
      </c>
      <c r="L147" s="25" t="s">
        <v>62</v>
      </c>
      <c r="M147">
        <v>1</v>
      </c>
      <c r="N147">
        <v>1</v>
      </c>
      <c r="O147">
        <v>0</v>
      </c>
      <c r="P147">
        <f t="shared" si="2"/>
        <v>2</v>
      </c>
      <c r="Q147" s="11" t="s">
        <v>737</v>
      </c>
    </row>
    <row r="148" spans="1:17" ht="20" customHeight="1" x14ac:dyDescent="0.3">
      <c r="A148" s="67"/>
      <c r="B148" t="s">
        <v>738</v>
      </c>
      <c r="C148" s="4" t="s">
        <v>44</v>
      </c>
      <c r="D148" s="4" t="s">
        <v>727</v>
      </c>
      <c r="E148" s="4" t="s">
        <v>55</v>
      </c>
      <c r="F148" t="s">
        <v>739</v>
      </c>
      <c r="G148" t="s">
        <v>740</v>
      </c>
      <c r="H148" s="6" t="s">
        <v>741</v>
      </c>
      <c r="I148" s="38" t="s">
        <v>59</v>
      </c>
      <c r="J148" s="46"/>
      <c r="K148" s="6" t="s">
        <v>742</v>
      </c>
      <c r="L148" s="25" t="s">
        <v>62</v>
      </c>
      <c r="M148">
        <v>1</v>
      </c>
      <c r="N148">
        <v>1</v>
      </c>
      <c r="O148">
        <v>0</v>
      </c>
      <c r="P148">
        <f t="shared" si="2"/>
        <v>2</v>
      </c>
      <c r="Q148" s="11" t="s">
        <v>743</v>
      </c>
    </row>
    <row r="149" spans="1:17" ht="20" customHeight="1" x14ac:dyDescent="0.3">
      <c r="A149" s="67"/>
      <c r="B149" t="s">
        <v>744</v>
      </c>
      <c r="C149" s="4" t="s">
        <v>44</v>
      </c>
      <c r="D149" s="4" t="s">
        <v>727</v>
      </c>
      <c r="E149" s="4" t="s">
        <v>55</v>
      </c>
      <c r="F149" t="s">
        <v>745</v>
      </c>
      <c r="G149" t="s">
        <v>746</v>
      </c>
      <c r="H149" s="6" t="s">
        <v>747</v>
      </c>
      <c r="I149" s="53" t="s">
        <v>25</v>
      </c>
      <c r="J149" s="46"/>
      <c r="K149" s="6" t="s">
        <v>748</v>
      </c>
      <c r="L149" s="25" t="s">
        <v>62</v>
      </c>
      <c r="M149">
        <v>1</v>
      </c>
      <c r="N149">
        <v>0</v>
      </c>
      <c r="O149">
        <v>0</v>
      </c>
      <c r="P149">
        <f t="shared" si="2"/>
        <v>1</v>
      </c>
      <c r="Q149" s="11" t="s">
        <v>749</v>
      </c>
    </row>
    <row r="150" spans="1:17" ht="20" customHeight="1" x14ac:dyDescent="0.3">
      <c r="A150" s="67"/>
      <c r="B150" t="s">
        <v>750</v>
      </c>
      <c r="C150" s="4" t="s">
        <v>44</v>
      </c>
      <c r="D150" s="4" t="s">
        <v>727</v>
      </c>
      <c r="E150" s="4" t="s">
        <v>55</v>
      </c>
      <c r="F150" t="s">
        <v>751</v>
      </c>
      <c r="G150" t="s">
        <v>752</v>
      </c>
      <c r="H150" s="6" t="s">
        <v>753</v>
      </c>
      <c r="I150" s="53" t="s">
        <v>25</v>
      </c>
      <c r="J150" s="46"/>
      <c r="K150" s="6" t="s">
        <v>754</v>
      </c>
      <c r="L150" s="25" t="s">
        <v>62</v>
      </c>
      <c r="M150">
        <v>1</v>
      </c>
      <c r="N150">
        <v>0</v>
      </c>
      <c r="O150">
        <v>0</v>
      </c>
      <c r="P150">
        <f t="shared" si="2"/>
        <v>1</v>
      </c>
      <c r="Q150" s="11" t="s">
        <v>755</v>
      </c>
    </row>
    <row r="151" spans="1:17" ht="20" customHeight="1" x14ac:dyDescent="0.3">
      <c r="A151" s="67"/>
      <c r="B151" t="s">
        <v>756</v>
      </c>
      <c r="C151" s="4" t="s">
        <v>44</v>
      </c>
      <c r="D151" s="4" t="s">
        <v>757</v>
      </c>
      <c r="E151" s="4" t="s">
        <v>21</v>
      </c>
      <c r="F151" t="s">
        <v>758</v>
      </c>
      <c r="G151" t="s">
        <v>759</v>
      </c>
      <c r="H151" s="6" t="s">
        <v>753</v>
      </c>
      <c r="I151" s="53" t="s">
        <v>25</v>
      </c>
      <c r="J151" s="46"/>
      <c r="K151" t="s">
        <v>760</v>
      </c>
      <c r="L151" s="10" t="s">
        <v>28</v>
      </c>
      <c r="M151">
        <v>1</v>
      </c>
      <c r="N151">
        <v>1</v>
      </c>
      <c r="O151">
        <v>1</v>
      </c>
      <c r="P151">
        <f t="shared" si="2"/>
        <v>3</v>
      </c>
      <c r="Q151" s="11" t="s">
        <v>761</v>
      </c>
    </row>
    <row r="152" spans="1:17" ht="20" customHeight="1" x14ac:dyDescent="0.3">
      <c r="A152" s="67"/>
      <c r="B152" t="s">
        <v>762</v>
      </c>
      <c r="C152" s="4" t="s">
        <v>44</v>
      </c>
      <c r="D152" s="4" t="s">
        <v>757</v>
      </c>
      <c r="E152" s="4" t="s">
        <v>214</v>
      </c>
      <c r="F152" t="s">
        <v>763</v>
      </c>
      <c r="G152" t="s">
        <v>764</v>
      </c>
      <c r="H152" s="6" t="s">
        <v>753</v>
      </c>
      <c r="I152" s="53" t="s">
        <v>25</v>
      </c>
      <c r="J152" s="46"/>
      <c r="K152" s="6" t="s">
        <v>765</v>
      </c>
      <c r="L152" s="10" t="s">
        <v>28</v>
      </c>
      <c r="M152">
        <v>1</v>
      </c>
      <c r="N152">
        <v>1</v>
      </c>
      <c r="O152">
        <v>0</v>
      </c>
      <c r="P152">
        <f t="shared" si="2"/>
        <v>2</v>
      </c>
      <c r="Q152" s="11" t="s">
        <v>766</v>
      </c>
    </row>
    <row r="153" spans="1:17" ht="20" customHeight="1" x14ac:dyDescent="0.3">
      <c r="A153" s="67"/>
      <c r="B153" t="s">
        <v>767</v>
      </c>
      <c r="C153" s="4" t="s">
        <v>44</v>
      </c>
      <c r="D153" s="4" t="s">
        <v>757</v>
      </c>
      <c r="E153" s="4" t="s">
        <v>214</v>
      </c>
      <c r="F153" t="s">
        <v>768</v>
      </c>
      <c r="G153" t="s">
        <v>769</v>
      </c>
      <c r="H153" s="6" t="s">
        <v>770</v>
      </c>
      <c r="I153" s="53" t="s">
        <v>25</v>
      </c>
      <c r="J153" s="46"/>
      <c r="K153" s="6" t="s">
        <v>771</v>
      </c>
      <c r="L153" s="10" t="s">
        <v>28</v>
      </c>
      <c r="M153">
        <v>1</v>
      </c>
      <c r="N153">
        <v>1</v>
      </c>
      <c r="O153">
        <v>0</v>
      </c>
      <c r="P153">
        <f t="shared" si="2"/>
        <v>2</v>
      </c>
      <c r="Q153" s="11" t="s">
        <v>772</v>
      </c>
    </row>
    <row r="154" spans="1:17" ht="20" customHeight="1" x14ac:dyDescent="0.3">
      <c r="A154" s="67"/>
      <c r="B154" t="s">
        <v>773</v>
      </c>
      <c r="C154" s="4" t="s">
        <v>44</v>
      </c>
      <c r="D154" s="4" t="s">
        <v>757</v>
      </c>
      <c r="E154" s="4" t="s">
        <v>214</v>
      </c>
      <c r="F154" t="s">
        <v>774</v>
      </c>
      <c r="G154" t="s">
        <v>775</v>
      </c>
      <c r="H154" s="6" t="s">
        <v>776</v>
      </c>
      <c r="I154" s="53" t="s">
        <v>25</v>
      </c>
      <c r="J154" s="46"/>
      <c r="K154" s="4" t="s">
        <v>777</v>
      </c>
      <c r="L154" s="10" t="s">
        <v>28</v>
      </c>
      <c r="M154">
        <v>1</v>
      </c>
      <c r="N154">
        <v>1</v>
      </c>
      <c r="O154">
        <v>0</v>
      </c>
      <c r="P154">
        <f t="shared" si="2"/>
        <v>2</v>
      </c>
      <c r="Q154" s="11" t="s">
        <v>778</v>
      </c>
    </row>
    <row r="155" spans="1:17" ht="20" customHeight="1" x14ac:dyDescent="0.3">
      <c r="A155" s="67"/>
      <c r="B155" t="s">
        <v>779</v>
      </c>
      <c r="C155" s="4" t="s">
        <v>44</v>
      </c>
      <c r="D155" s="4" t="s">
        <v>780</v>
      </c>
      <c r="E155" s="4" t="s">
        <v>220</v>
      </c>
      <c r="F155" t="s">
        <v>576</v>
      </c>
      <c r="G155" t="s">
        <v>577</v>
      </c>
      <c r="H155" s="11" t="s">
        <v>578</v>
      </c>
      <c r="I155" s="53" t="s">
        <v>25</v>
      </c>
      <c r="J155" s="46"/>
      <c r="K155" s="6" t="s">
        <v>781</v>
      </c>
      <c r="L155" s="10" t="s">
        <v>28</v>
      </c>
      <c r="M155">
        <v>1</v>
      </c>
      <c r="N155">
        <v>1</v>
      </c>
      <c r="O155">
        <v>1</v>
      </c>
      <c r="P155">
        <f t="shared" si="2"/>
        <v>3</v>
      </c>
      <c r="Q155" s="11" t="s">
        <v>782</v>
      </c>
    </row>
    <row r="156" spans="1:17" ht="20" customHeight="1" x14ac:dyDescent="0.3">
      <c r="A156" s="67"/>
      <c r="B156" t="s">
        <v>783</v>
      </c>
      <c r="C156" s="4" t="s">
        <v>44</v>
      </c>
      <c r="D156" s="4" t="s">
        <v>780</v>
      </c>
      <c r="E156" s="4" t="s">
        <v>220</v>
      </c>
      <c r="F156" t="s">
        <v>784</v>
      </c>
      <c r="G156" t="s">
        <v>785</v>
      </c>
      <c r="H156" s="6" t="s">
        <v>776</v>
      </c>
      <c r="I156" s="53" t="s">
        <v>25</v>
      </c>
      <c r="J156" s="46"/>
      <c r="K156" s="4" t="s">
        <v>786</v>
      </c>
      <c r="L156" s="10" t="s">
        <v>28</v>
      </c>
      <c r="M156">
        <v>1</v>
      </c>
      <c r="N156">
        <v>1</v>
      </c>
      <c r="O156">
        <v>1</v>
      </c>
      <c r="P156">
        <f t="shared" si="2"/>
        <v>3</v>
      </c>
      <c r="Q156" s="11" t="s">
        <v>787</v>
      </c>
    </row>
    <row r="157" spans="1:17" s="15" customFormat="1" ht="20" customHeight="1" x14ac:dyDescent="0.3">
      <c r="A157" s="68"/>
      <c r="B157" s="15" t="s">
        <v>788</v>
      </c>
      <c r="C157" s="14" t="s">
        <v>438</v>
      </c>
      <c r="D157" s="14" t="s">
        <v>789</v>
      </c>
      <c r="E157" s="14" t="s">
        <v>55</v>
      </c>
      <c r="F157" s="15" t="s">
        <v>790</v>
      </c>
      <c r="G157" s="15" t="s">
        <v>791</v>
      </c>
      <c r="H157" s="16" t="s">
        <v>776</v>
      </c>
      <c r="I157" s="72" t="s">
        <v>59</v>
      </c>
      <c r="J157" s="48"/>
      <c r="K157" s="15" t="s">
        <v>792</v>
      </c>
      <c r="L157" s="31" t="s">
        <v>62</v>
      </c>
      <c r="M157" s="15">
        <v>1</v>
      </c>
      <c r="N157" s="15">
        <v>1</v>
      </c>
      <c r="O157" s="15">
        <v>0</v>
      </c>
      <c r="P157" s="15">
        <f t="shared" si="2"/>
        <v>2</v>
      </c>
      <c r="Q157" s="21" t="s">
        <v>793</v>
      </c>
    </row>
    <row r="158" spans="1:17" ht="20" customHeight="1" x14ac:dyDescent="0.3">
      <c r="A158" s="37" t="s">
        <v>794</v>
      </c>
      <c r="B158" t="s">
        <v>795</v>
      </c>
      <c r="C158" s="4" t="s">
        <v>19</v>
      </c>
      <c r="D158" t="s">
        <v>796</v>
      </c>
      <c r="E158" s="4" t="s">
        <v>206</v>
      </c>
      <c r="F158" t="s">
        <v>797</v>
      </c>
      <c r="G158" t="s">
        <v>798</v>
      </c>
      <c r="H158" s="6" t="s">
        <v>799</v>
      </c>
      <c r="I158" s="53" t="s">
        <v>25</v>
      </c>
      <c r="J158" s="45" t="s">
        <v>800</v>
      </c>
      <c r="K158" s="6" t="s">
        <v>801</v>
      </c>
      <c r="L158" s="25" t="s">
        <v>62</v>
      </c>
      <c r="M158">
        <v>1</v>
      </c>
      <c r="N158">
        <v>1</v>
      </c>
      <c r="O158">
        <v>1</v>
      </c>
      <c r="P158">
        <f t="shared" si="2"/>
        <v>3</v>
      </c>
      <c r="Q158" s="11" t="s">
        <v>802</v>
      </c>
    </row>
    <row r="159" spans="1:17" ht="20" customHeight="1" x14ac:dyDescent="0.3">
      <c r="A159" s="37"/>
      <c r="B159" t="s">
        <v>803</v>
      </c>
      <c r="C159" s="4" t="s">
        <v>19</v>
      </c>
      <c r="D159" t="s">
        <v>796</v>
      </c>
      <c r="E159" s="4" t="s">
        <v>206</v>
      </c>
      <c r="F159" t="s">
        <v>804</v>
      </c>
      <c r="G159" t="s">
        <v>805</v>
      </c>
      <c r="H159" s="6" t="s">
        <v>806</v>
      </c>
      <c r="I159" s="53" t="s">
        <v>25</v>
      </c>
      <c r="J159" s="46"/>
      <c r="K159" s="6" t="s">
        <v>807</v>
      </c>
      <c r="L159" s="25" t="s">
        <v>62</v>
      </c>
      <c r="M159">
        <v>1</v>
      </c>
      <c r="N159">
        <v>1</v>
      </c>
      <c r="O159">
        <v>1</v>
      </c>
      <c r="P159">
        <f t="shared" si="2"/>
        <v>3</v>
      </c>
      <c r="Q159" s="11" t="s">
        <v>808</v>
      </c>
    </row>
    <row r="160" spans="1:17" ht="20" customHeight="1" x14ac:dyDescent="0.3">
      <c r="A160" s="37"/>
      <c r="B160" t="s">
        <v>809</v>
      </c>
      <c r="C160" s="4" t="s">
        <v>44</v>
      </c>
      <c r="D160" t="s">
        <v>810</v>
      </c>
      <c r="E160" s="4" t="s">
        <v>55</v>
      </c>
      <c r="F160" t="s">
        <v>811</v>
      </c>
      <c r="G160" t="s">
        <v>812</v>
      </c>
      <c r="H160" s="6" t="s">
        <v>813</v>
      </c>
      <c r="I160" s="53" t="s">
        <v>25</v>
      </c>
      <c r="J160" s="46"/>
      <c r="K160" s="6" t="s">
        <v>814</v>
      </c>
      <c r="L160" s="25" t="s">
        <v>62</v>
      </c>
      <c r="M160">
        <v>1</v>
      </c>
      <c r="N160">
        <v>0</v>
      </c>
      <c r="O160">
        <v>0</v>
      </c>
      <c r="P160">
        <f t="shared" si="2"/>
        <v>1</v>
      </c>
      <c r="Q160" s="11" t="s">
        <v>815</v>
      </c>
    </row>
    <row r="161" spans="1:65" ht="20" customHeight="1" x14ac:dyDescent="0.3">
      <c r="A161" s="37"/>
      <c r="B161" t="s">
        <v>816</v>
      </c>
      <c r="C161" s="4" t="s">
        <v>44</v>
      </c>
      <c r="D161" t="s">
        <v>796</v>
      </c>
      <c r="E161" s="4" t="s">
        <v>206</v>
      </c>
      <c r="F161" t="s">
        <v>804</v>
      </c>
      <c r="G161" t="s">
        <v>805</v>
      </c>
      <c r="H161" s="6" t="s">
        <v>806</v>
      </c>
      <c r="I161" s="53" t="s">
        <v>25</v>
      </c>
      <c r="J161" s="46"/>
      <c r="K161" s="6" t="s">
        <v>817</v>
      </c>
      <c r="L161" s="25" t="s">
        <v>62</v>
      </c>
      <c r="M161">
        <v>1</v>
      </c>
      <c r="N161">
        <v>0</v>
      </c>
      <c r="O161">
        <v>0</v>
      </c>
      <c r="P161">
        <f t="shared" si="2"/>
        <v>1</v>
      </c>
      <c r="Q161" s="11" t="s">
        <v>818</v>
      </c>
    </row>
    <row r="162" spans="1:65" s="15" customFormat="1" ht="20" customHeight="1" x14ac:dyDescent="0.3">
      <c r="A162" s="39"/>
      <c r="B162" s="15" t="s">
        <v>819</v>
      </c>
      <c r="C162" s="14" t="s">
        <v>44</v>
      </c>
      <c r="D162" s="15" t="s">
        <v>820</v>
      </c>
      <c r="E162" s="14" t="s">
        <v>206</v>
      </c>
      <c r="F162" s="15" t="s">
        <v>821</v>
      </c>
      <c r="G162" s="15" t="s">
        <v>822</v>
      </c>
      <c r="H162" s="16" t="s">
        <v>823</v>
      </c>
      <c r="I162" s="42" t="s">
        <v>25</v>
      </c>
      <c r="J162" s="48"/>
      <c r="K162" s="16" t="s">
        <v>824</v>
      </c>
      <c r="L162" s="31" t="s">
        <v>62</v>
      </c>
      <c r="M162" s="15">
        <v>1</v>
      </c>
      <c r="N162" s="15">
        <v>0</v>
      </c>
      <c r="O162" s="15">
        <v>0</v>
      </c>
      <c r="P162" s="15">
        <f t="shared" si="2"/>
        <v>1</v>
      </c>
      <c r="Q162" s="21" t="s">
        <v>825</v>
      </c>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row>
    <row r="163" spans="1:65" ht="20" customHeight="1" x14ac:dyDescent="0.3">
      <c r="A163" s="73" t="s">
        <v>826</v>
      </c>
      <c r="B163" t="s">
        <v>827</v>
      </c>
      <c r="C163" s="4" t="s">
        <v>19</v>
      </c>
      <c r="D163" t="s">
        <v>828</v>
      </c>
      <c r="E163" s="4" t="s">
        <v>21</v>
      </c>
      <c r="F163" t="s">
        <v>829</v>
      </c>
      <c r="G163" t="s">
        <v>830</v>
      </c>
      <c r="H163" s="6" t="s">
        <v>831</v>
      </c>
      <c r="I163" s="38" t="s">
        <v>59</v>
      </c>
      <c r="J163" s="45" t="s">
        <v>832</v>
      </c>
      <c r="K163" s="6" t="s">
        <v>833</v>
      </c>
      <c r="L163" s="10" t="s">
        <v>28</v>
      </c>
      <c r="M163">
        <v>1</v>
      </c>
      <c r="N163">
        <v>1</v>
      </c>
      <c r="O163">
        <v>1</v>
      </c>
      <c r="P163">
        <f t="shared" si="2"/>
        <v>3</v>
      </c>
      <c r="Q163" s="11" t="s">
        <v>834</v>
      </c>
    </row>
    <row r="164" spans="1:65" ht="20" customHeight="1" x14ac:dyDescent="0.3">
      <c r="A164" s="73"/>
      <c r="B164" t="s">
        <v>835</v>
      </c>
      <c r="C164" s="4" t="s">
        <v>19</v>
      </c>
      <c r="D164" t="s">
        <v>828</v>
      </c>
      <c r="E164" s="4" t="s">
        <v>21</v>
      </c>
      <c r="F164" s="4" t="s">
        <v>836</v>
      </c>
      <c r="G164" t="s">
        <v>837</v>
      </c>
      <c r="H164" s="6" t="s">
        <v>838</v>
      </c>
      <c r="I164" s="38" t="s">
        <v>59</v>
      </c>
      <c r="J164" s="46"/>
      <c r="K164" s="6" t="s">
        <v>839</v>
      </c>
      <c r="L164" s="10" t="s">
        <v>28</v>
      </c>
      <c r="M164">
        <v>1</v>
      </c>
      <c r="N164">
        <v>1</v>
      </c>
      <c r="O164">
        <v>1</v>
      </c>
      <c r="P164">
        <f t="shared" si="2"/>
        <v>3</v>
      </c>
      <c r="Q164" s="11" t="s">
        <v>840</v>
      </c>
    </row>
    <row r="165" spans="1:65" ht="20" customHeight="1" x14ac:dyDescent="0.3">
      <c r="A165" s="73"/>
      <c r="B165" t="s">
        <v>841</v>
      </c>
      <c r="C165" s="4" t="s">
        <v>19</v>
      </c>
      <c r="D165" t="s">
        <v>828</v>
      </c>
      <c r="E165" s="4" t="s">
        <v>21</v>
      </c>
      <c r="F165" s="4" t="s">
        <v>842</v>
      </c>
      <c r="G165" t="s">
        <v>843</v>
      </c>
      <c r="H165" s="6" t="s">
        <v>838</v>
      </c>
      <c r="I165" s="38" t="s">
        <v>59</v>
      </c>
      <c r="J165" s="46"/>
      <c r="K165" s="6" t="s">
        <v>844</v>
      </c>
      <c r="L165" s="10" t="s">
        <v>28</v>
      </c>
      <c r="M165">
        <v>1</v>
      </c>
      <c r="N165">
        <v>1</v>
      </c>
      <c r="O165">
        <v>1</v>
      </c>
      <c r="P165">
        <f t="shared" si="2"/>
        <v>3</v>
      </c>
      <c r="Q165" s="11" t="s">
        <v>845</v>
      </c>
    </row>
    <row r="166" spans="1:65" ht="20" customHeight="1" x14ac:dyDescent="0.3">
      <c r="A166" s="73"/>
      <c r="B166" t="s">
        <v>846</v>
      </c>
      <c r="C166" s="4" t="s">
        <v>19</v>
      </c>
      <c r="D166" t="s">
        <v>828</v>
      </c>
      <c r="E166" t="s">
        <v>847</v>
      </c>
      <c r="F166" t="s">
        <v>848</v>
      </c>
      <c r="G166" t="s">
        <v>849</v>
      </c>
      <c r="H166" s="6" t="s">
        <v>850</v>
      </c>
      <c r="I166" s="53" t="s">
        <v>25</v>
      </c>
      <c r="J166" s="46"/>
      <c r="K166" s="6" t="s">
        <v>851</v>
      </c>
      <c r="L166" s="10" t="s">
        <v>28</v>
      </c>
      <c r="M166">
        <v>1</v>
      </c>
      <c r="N166">
        <v>1</v>
      </c>
      <c r="O166">
        <v>0</v>
      </c>
      <c r="P166">
        <f t="shared" si="2"/>
        <v>2</v>
      </c>
      <c r="Q166" s="11" t="s">
        <v>852</v>
      </c>
    </row>
    <row r="167" spans="1:65" ht="20" customHeight="1" x14ac:dyDescent="0.3">
      <c r="A167" s="73"/>
      <c r="B167" t="s">
        <v>853</v>
      </c>
      <c r="C167" s="4" t="s">
        <v>44</v>
      </c>
      <c r="D167" t="s">
        <v>426</v>
      </c>
      <c r="E167" t="s">
        <v>206</v>
      </c>
      <c r="F167" s="4" t="s">
        <v>427</v>
      </c>
      <c r="G167" s="4" t="s">
        <v>428</v>
      </c>
      <c r="H167" s="6" t="s">
        <v>854</v>
      </c>
      <c r="I167" s="53" t="s">
        <v>25</v>
      </c>
      <c r="J167" s="46"/>
      <c r="K167" s="4" t="s">
        <v>855</v>
      </c>
      <c r="L167" s="25" t="s">
        <v>62</v>
      </c>
      <c r="M167">
        <v>1</v>
      </c>
      <c r="N167">
        <v>1</v>
      </c>
      <c r="O167">
        <v>0</v>
      </c>
      <c r="P167">
        <f t="shared" si="2"/>
        <v>2</v>
      </c>
      <c r="Q167" s="11" t="s">
        <v>856</v>
      </c>
    </row>
    <row r="168" spans="1:65" ht="20" customHeight="1" x14ac:dyDescent="0.3">
      <c r="A168" s="73"/>
      <c r="B168" t="s">
        <v>857</v>
      </c>
      <c r="C168" s="4" t="s">
        <v>19</v>
      </c>
      <c r="D168" t="s">
        <v>858</v>
      </c>
      <c r="E168" t="s">
        <v>214</v>
      </c>
      <c r="F168" t="s">
        <v>859</v>
      </c>
      <c r="G168" t="s">
        <v>860</v>
      </c>
      <c r="H168" s="6" t="s">
        <v>116</v>
      </c>
      <c r="I168" s="53" t="s">
        <v>25</v>
      </c>
      <c r="J168" s="46"/>
      <c r="K168" t="s">
        <v>861</v>
      </c>
      <c r="L168" s="10" t="s">
        <v>49</v>
      </c>
      <c r="M168">
        <v>1</v>
      </c>
      <c r="N168">
        <v>0</v>
      </c>
      <c r="O168">
        <v>0</v>
      </c>
      <c r="P168">
        <f t="shared" si="2"/>
        <v>1</v>
      </c>
      <c r="Q168" s="11" t="s">
        <v>862</v>
      </c>
    </row>
    <row r="169" spans="1:65" s="15" customFormat="1" ht="20" customHeight="1" x14ac:dyDescent="0.3">
      <c r="A169" s="74"/>
      <c r="B169" s="14" t="s">
        <v>499</v>
      </c>
      <c r="C169" s="14" t="s">
        <v>19</v>
      </c>
      <c r="D169" s="15" t="s">
        <v>500</v>
      </c>
      <c r="E169" s="14" t="s">
        <v>113</v>
      </c>
      <c r="F169" s="14" t="s">
        <v>501</v>
      </c>
      <c r="G169" s="14" t="s">
        <v>502</v>
      </c>
      <c r="H169" s="16" t="s">
        <v>329</v>
      </c>
      <c r="I169" s="42" t="s">
        <v>25</v>
      </c>
      <c r="J169" s="48"/>
      <c r="K169" s="16" t="s">
        <v>863</v>
      </c>
      <c r="L169" s="20" t="s">
        <v>28</v>
      </c>
      <c r="M169" s="15">
        <v>1</v>
      </c>
      <c r="N169" s="15">
        <v>0</v>
      </c>
      <c r="O169" s="15">
        <v>0</v>
      </c>
      <c r="P169" s="15">
        <f t="shared" si="2"/>
        <v>1</v>
      </c>
      <c r="Q169" s="21" t="s">
        <v>864</v>
      </c>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row>
    <row r="170" spans="1:65" ht="20" customHeight="1" x14ac:dyDescent="0.3">
      <c r="A170" s="75" t="s">
        <v>865</v>
      </c>
      <c r="B170" t="s">
        <v>319</v>
      </c>
      <c r="C170" s="4" t="s">
        <v>19</v>
      </c>
      <c r="D170" t="s">
        <v>866</v>
      </c>
      <c r="E170" s="4" t="s">
        <v>128</v>
      </c>
      <c r="F170" s="4" t="s">
        <v>321</v>
      </c>
      <c r="G170" s="4" t="s">
        <v>322</v>
      </c>
      <c r="H170" s="6" t="s">
        <v>867</v>
      </c>
      <c r="I170" s="53" t="s">
        <v>25</v>
      </c>
      <c r="J170" s="45" t="s">
        <v>868</v>
      </c>
      <c r="K170" t="s">
        <v>869</v>
      </c>
      <c r="L170" s="25" t="s">
        <v>62</v>
      </c>
      <c r="M170">
        <v>1</v>
      </c>
      <c r="N170">
        <v>1</v>
      </c>
      <c r="O170">
        <v>1</v>
      </c>
      <c r="P170">
        <f t="shared" si="2"/>
        <v>3</v>
      </c>
      <c r="Q170" s="11" t="s">
        <v>870</v>
      </c>
    </row>
    <row r="171" spans="1:65" s="15" customFormat="1" ht="20" customHeight="1" x14ac:dyDescent="0.2">
      <c r="A171" s="76"/>
      <c r="B171" s="15" t="s">
        <v>871</v>
      </c>
      <c r="C171" s="14" t="s">
        <v>19</v>
      </c>
      <c r="D171" s="14" t="s">
        <v>872</v>
      </c>
      <c r="E171" s="14" t="s">
        <v>128</v>
      </c>
      <c r="F171" s="14" t="s">
        <v>873</v>
      </c>
      <c r="G171" s="16" t="s">
        <v>874</v>
      </c>
      <c r="H171" s="16" t="s">
        <v>309</v>
      </c>
      <c r="I171" s="42" t="s">
        <v>25</v>
      </c>
      <c r="J171" s="48"/>
      <c r="K171" s="16" t="s">
        <v>875</v>
      </c>
      <c r="L171" s="31" t="s">
        <v>62</v>
      </c>
      <c r="M171" s="15">
        <v>1</v>
      </c>
      <c r="N171" s="15">
        <v>1</v>
      </c>
      <c r="O171" s="15">
        <v>1</v>
      </c>
      <c r="P171" s="15">
        <f t="shared" si="2"/>
        <v>3</v>
      </c>
      <c r="Q171" s="21" t="s">
        <v>876</v>
      </c>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row>
    <row r="172" spans="1:65" ht="20" customHeight="1" x14ac:dyDescent="0.3">
      <c r="A172" s="77" t="s">
        <v>877</v>
      </c>
      <c r="B172" t="s">
        <v>878</v>
      </c>
      <c r="C172" s="4" t="s">
        <v>19</v>
      </c>
      <c r="D172" t="s">
        <v>879</v>
      </c>
      <c r="E172" s="4" t="s">
        <v>220</v>
      </c>
      <c r="F172" t="s">
        <v>880</v>
      </c>
      <c r="G172" s="6" t="s">
        <v>881</v>
      </c>
      <c r="H172" s="6" t="s">
        <v>882</v>
      </c>
      <c r="I172" s="53" t="s">
        <v>25</v>
      </c>
      <c r="J172" s="8" t="s">
        <v>883</v>
      </c>
      <c r="K172" t="s">
        <v>884</v>
      </c>
      <c r="L172" s="10" t="s">
        <v>28</v>
      </c>
      <c r="M172">
        <v>1</v>
      </c>
      <c r="N172">
        <v>1</v>
      </c>
      <c r="O172">
        <v>0</v>
      </c>
      <c r="P172">
        <f t="shared" si="2"/>
        <v>2</v>
      </c>
      <c r="Q172" s="11" t="s">
        <v>885</v>
      </c>
    </row>
    <row r="173" spans="1:65" ht="20" customHeight="1" x14ac:dyDescent="0.3">
      <c r="A173" s="77"/>
      <c r="B173" t="s">
        <v>119</v>
      </c>
      <c r="C173" s="4" t="s">
        <v>44</v>
      </c>
      <c r="D173" t="s">
        <v>879</v>
      </c>
      <c r="E173" t="s">
        <v>113</v>
      </c>
      <c r="F173" s="4" t="s">
        <v>121</v>
      </c>
      <c r="G173" s="4" t="s">
        <v>122</v>
      </c>
      <c r="H173" s="6" t="s">
        <v>123</v>
      </c>
      <c r="I173" s="53" t="s">
        <v>25</v>
      </c>
      <c r="J173" s="12"/>
      <c r="K173" s="6" t="s">
        <v>886</v>
      </c>
      <c r="L173" s="10" t="s">
        <v>28</v>
      </c>
      <c r="M173">
        <v>1</v>
      </c>
      <c r="N173">
        <v>0</v>
      </c>
      <c r="O173">
        <v>1</v>
      </c>
      <c r="P173">
        <f t="shared" si="2"/>
        <v>2</v>
      </c>
      <c r="Q173" s="11" t="s">
        <v>887</v>
      </c>
    </row>
    <row r="174" spans="1:65" ht="20" customHeight="1" x14ac:dyDescent="0.3">
      <c r="A174" s="77"/>
      <c r="B174" t="s">
        <v>888</v>
      </c>
      <c r="C174" s="4" t="s">
        <v>44</v>
      </c>
      <c r="D174" t="s">
        <v>879</v>
      </c>
      <c r="E174" t="s">
        <v>113</v>
      </c>
      <c r="F174" t="s">
        <v>889</v>
      </c>
      <c r="G174" s="6" t="s">
        <v>890</v>
      </c>
      <c r="H174" s="6" t="s">
        <v>116</v>
      </c>
      <c r="I174" s="53" t="s">
        <v>25</v>
      </c>
      <c r="J174" s="12"/>
      <c r="K174" t="s">
        <v>891</v>
      </c>
      <c r="L174" s="10" t="s">
        <v>28</v>
      </c>
      <c r="M174">
        <v>1</v>
      </c>
      <c r="N174">
        <v>0</v>
      </c>
      <c r="O174">
        <v>0</v>
      </c>
      <c r="P174">
        <f t="shared" si="2"/>
        <v>1</v>
      </c>
      <c r="Q174" s="11" t="s">
        <v>892</v>
      </c>
    </row>
    <row r="175" spans="1:65" ht="20" customHeight="1" x14ac:dyDescent="0.3">
      <c r="A175" s="77"/>
      <c r="B175" t="s">
        <v>893</v>
      </c>
      <c r="C175" s="4" t="s">
        <v>44</v>
      </c>
      <c r="D175" t="s">
        <v>879</v>
      </c>
      <c r="E175" t="s">
        <v>893</v>
      </c>
      <c r="F175" t="s">
        <v>894</v>
      </c>
      <c r="G175" t="s">
        <v>895</v>
      </c>
      <c r="H175" s="6" t="s">
        <v>116</v>
      </c>
      <c r="I175" s="53" t="s">
        <v>25</v>
      </c>
      <c r="J175" s="12"/>
      <c r="K175" s="6" t="s">
        <v>896</v>
      </c>
      <c r="L175" s="10" t="s">
        <v>28</v>
      </c>
      <c r="M175">
        <v>0</v>
      </c>
      <c r="N175">
        <v>0</v>
      </c>
      <c r="O175">
        <v>0</v>
      </c>
      <c r="P175">
        <f t="shared" si="2"/>
        <v>0</v>
      </c>
      <c r="Q175" s="11" t="s">
        <v>897</v>
      </c>
    </row>
    <row r="176" spans="1:65" s="15" customFormat="1" ht="20" customHeight="1" x14ac:dyDescent="0.3">
      <c r="A176" s="78"/>
      <c r="B176" s="15" t="s">
        <v>102</v>
      </c>
      <c r="C176" s="14" t="s">
        <v>19</v>
      </c>
      <c r="D176" s="15" t="s">
        <v>103</v>
      </c>
      <c r="E176" s="15" t="s">
        <v>55</v>
      </c>
      <c r="F176" s="15" t="s">
        <v>104</v>
      </c>
      <c r="G176" s="15" t="s">
        <v>105</v>
      </c>
      <c r="H176" s="16" t="s">
        <v>106</v>
      </c>
      <c r="I176" s="20" t="s">
        <v>59</v>
      </c>
      <c r="J176" s="18"/>
      <c r="K176" s="15" t="s">
        <v>898</v>
      </c>
      <c r="L176" s="31" t="s">
        <v>62</v>
      </c>
      <c r="M176" s="15">
        <v>1</v>
      </c>
      <c r="N176" s="15">
        <v>0</v>
      </c>
      <c r="O176" s="15">
        <v>0</v>
      </c>
      <c r="P176" s="15">
        <f t="shared" si="2"/>
        <v>1</v>
      </c>
      <c r="Q176" s="21" t="s">
        <v>899</v>
      </c>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row>
    <row r="177" spans="1:65" ht="20" customHeight="1" x14ac:dyDescent="0.3">
      <c r="A177" s="32" t="s">
        <v>900</v>
      </c>
      <c r="B177" t="s">
        <v>901</v>
      </c>
      <c r="C177" s="4" t="s">
        <v>44</v>
      </c>
      <c r="D177" t="s">
        <v>902</v>
      </c>
      <c r="E177" s="4" t="s">
        <v>91</v>
      </c>
      <c r="F177" t="s">
        <v>903</v>
      </c>
      <c r="G177" t="s">
        <v>904</v>
      </c>
      <c r="H177" s="9" t="s">
        <v>905</v>
      </c>
      <c r="I177" s="38" t="s">
        <v>59</v>
      </c>
      <c r="J177" s="79" t="s">
        <v>906</v>
      </c>
      <c r="K177" s="6" t="s">
        <v>907</v>
      </c>
      <c r="L177" s="25" t="s">
        <v>62</v>
      </c>
      <c r="M177">
        <v>1</v>
      </c>
      <c r="N177">
        <v>1</v>
      </c>
      <c r="O177">
        <v>1</v>
      </c>
      <c r="P177">
        <f t="shared" si="2"/>
        <v>3</v>
      </c>
      <c r="Q177" s="11" t="s">
        <v>908</v>
      </c>
    </row>
    <row r="178" spans="1:65" ht="20" customHeight="1" x14ac:dyDescent="0.3">
      <c r="A178" s="32"/>
      <c r="B178" t="s">
        <v>909</v>
      </c>
      <c r="C178" s="4" t="s">
        <v>44</v>
      </c>
      <c r="D178" t="s">
        <v>910</v>
      </c>
      <c r="E178" s="4" t="s">
        <v>214</v>
      </c>
      <c r="F178" t="s">
        <v>911</v>
      </c>
      <c r="G178" t="s">
        <v>912</v>
      </c>
      <c r="H178" s="9" t="s">
        <v>913</v>
      </c>
      <c r="I178" s="54" t="s">
        <v>330</v>
      </c>
      <c r="J178" s="80"/>
      <c r="K178" s="6" t="s">
        <v>914</v>
      </c>
      <c r="L178" s="10" t="s">
        <v>49</v>
      </c>
      <c r="M178">
        <v>1</v>
      </c>
      <c r="N178">
        <v>1</v>
      </c>
      <c r="O178">
        <v>1</v>
      </c>
      <c r="P178">
        <f t="shared" si="2"/>
        <v>3</v>
      </c>
      <c r="Q178" s="11" t="s">
        <v>915</v>
      </c>
    </row>
    <row r="179" spans="1:65" ht="20" customHeight="1" x14ac:dyDescent="0.3">
      <c r="A179" s="32"/>
      <c r="B179" t="s">
        <v>916</v>
      </c>
      <c r="C179" s="4" t="s">
        <v>44</v>
      </c>
      <c r="D179" t="s">
        <v>917</v>
      </c>
      <c r="E179" s="4" t="s">
        <v>21</v>
      </c>
      <c r="F179" t="s">
        <v>918</v>
      </c>
      <c r="G179" t="s">
        <v>919</v>
      </c>
      <c r="H179" s="9" t="s">
        <v>920</v>
      </c>
      <c r="I179" s="38" t="s">
        <v>59</v>
      </c>
      <c r="J179" s="80"/>
      <c r="K179" s="6" t="s">
        <v>921</v>
      </c>
      <c r="L179" s="10" t="s">
        <v>49</v>
      </c>
      <c r="M179">
        <v>1</v>
      </c>
      <c r="N179">
        <v>1</v>
      </c>
      <c r="O179">
        <v>0</v>
      </c>
      <c r="P179">
        <f t="shared" si="2"/>
        <v>2</v>
      </c>
      <c r="Q179" s="11" t="s">
        <v>922</v>
      </c>
    </row>
    <row r="180" spans="1:65" s="15" customFormat="1" ht="20" customHeight="1" x14ac:dyDescent="0.3">
      <c r="A180" s="35"/>
      <c r="B180" s="15" t="s">
        <v>923</v>
      </c>
      <c r="C180" s="14" t="s">
        <v>44</v>
      </c>
      <c r="D180" s="15" t="s">
        <v>910</v>
      </c>
      <c r="E180" s="15" t="s">
        <v>21</v>
      </c>
      <c r="F180" s="15" t="s">
        <v>924</v>
      </c>
      <c r="G180" s="15" t="s">
        <v>925</v>
      </c>
      <c r="H180" s="81" t="s">
        <v>926</v>
      </c>
      <c r="I180" s="42" t="s">
        <v>25</v>
      </c>
      <c r="J180" s="82"/>
      <c r="K180" s="15" t="s">
        <v>927</v>
      </c>
      <c r="L180" s="20" t="s">
        <v>49</v>
      </c>
      <c r="M180" s="15">
        <v>1</v>
      </c>
      <c r="N180" s="15">
        <v>0</v>
      </c>
      <c r="O180" s="15">
        <v>0</v>
      </c>
      <c r="P180" s="15">
        <f t="shared" si="2"/>
        <v>1</v>
      </c>
      <c r="Q180" s="21" t="s">
        <v>928</v>
      </c>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row>
    <row r="181" spans="1:65" ht="20" customHeight="1" x14ac:dyDescent="0.3">
      <c r="A181" s="73" t="s">
        <v>929</v>
      </c>
      <c r="B181" s="4" t="s">
        <v>930</v>
      </c>
      <c r="C181" s="4" t="s">
        <v>19</v>
      </c>
      <c r="D181" t="s">
        <v>931</v>
      </c>
      <c r="E181" t="s">
        <v>113</v>
      </c>
      <c r="F181" t="s">
        <v>932</v>
      </c>
      <c r="G181" t="s">
        <v>933</v>
      </c>
      <c r="H181" s="6" t="s">
        <v>934</v>
      </c>
      <c r="I181" s="38" t="s">
        <v>59</v>
      </c>
      <c r="J181" s="45" t="s">
        <v>935</v>
      </c>
      <c r="K181" s="6" t="s">
        <v>936</v>
      </c>
      <c r="L181" s="10" t="s">
        <v>28</v>
      </c>
      <c r="M181">
        <v>1</v>
      </c>
      <c r="N181">
        <v>1</v>
      </c>
      <c r="O181">
        <v>1</v>
      </c>
      <c r="P181">
        <f t="shared" si="2"/>
        <v>3</v>
      </c>
      <c r="Q181" s="11" t="s">
        <v>937</v>
      </c>
    </row>
    <row r="182" spans="1:65" ht="20" customHeight="1" x14ac:dyDescent="0.3">
      <c r="A182" s="73"/>
      <c r="B182" s="4" t="s">
        <v>938</v>
      </c>
      <c r="C182" s="4" t="s">
        <v>19</v>
      </c>
      <c r="D182" t="s">
        <v>931</v>
      </c>
      <c r="E182" t="s">
        <v>113</v>
      </c>
      <c r="F182" t="s">
        <v>939</v>
      </c>
      <c r="G182" t="s">
        <v>940</v>
      </c>
      <c r="H182" s="6" t="s">
        <v>941</v>
      </c>
      <c r="I182" s="38" t="s">
        <v>59</v>
      </c>
      <c r="J182" s="46"/>
      <c r="K182" s="6" t="s">
        <v>942</v>
      </c>
      <c r="L182" s="10" t="s">
        <v>28</v>
      </c>
      <c r="M182">
        <v>1</v>
      </c>
      <c r="N182">
        <v>1</v>
      </c>
      <c r="O182">
        <v>1</v>
      </c>
      <c r="P182">
        <f t="shared" si="2"/>
        <v>3</v>
      </c>
      <c r="Q182" s="11" t="s">
        <v>943</v>
      </c>
    </row>
    <row r="183" spans="1:65" ht="20" customHeight="1" x14ac:dyDescent="0.3">
      <c r="A183" s="73"/>
      <c r="B183" s="4" t="s">
        <v>944</v>
      </c>
      <c r="C183" s="4" t="s">
        <v>19</v>
      </c>
      <c r="D183" t="s">
        <v>931</v>
      </c>
      <c r="E183" t="s">
        <v>113</v>
      </c>
      <c r="F183" t="s">
        <v>945</v>
      </c>
      <c r="G183" t="s">
        <v>946</v>
      </c>
      <c r="H183" s="6" t="s">
        <v>947</v>
      </c>
      <c r="I183" s="38" t="s">
        <v>59</v>
      </c>
      <c r="J183" s="46"/>
      <c r="K183" s="6" t="s">
        <v>948</v>
      </c>
      <c r="L183" s="10" t="s">
        <v>28</v>
      </c>
      <c r="M183">
        <v>1</v>
      </c>
      <c r="N183">
        <v>1</v>
      </c>
      <c r="O183">
        <v>1</v>
      </c>
      <c r="P183">
        <f t="shared" si="2"/>
        <v>3</v>
      </c>
      <c r="Q183" s="11" t="s">
        <v>949</v>
      </c>
    </row>
    <row r="184" spans="1:65" ht="20" customHeight="1" x14ac:dyDescent="0.3">
      <c r="A184" s="73"/>
      <c r="B184" s="4" t="s">
        <v>950</v>
      </c>
      <c r="C184" s="4" t="s">
        <v>19</v>
      </c>
      <c r="D184" t="s">
        <v>931</v>
      </c>
      <c r="E184" t="s">
        <v>261</v>
      </c>
      <c r="F184" t="s">
        <v>951</v>
      </c>
      <c r="G184" t="s">
        <v>952</v>
      </c>
      <c r="H184" s="9" t="s">
        <v>953</v>
      </c>
      <c r="I184" s="38" t="s">
        <v>59</v>
      </c>
      <c r="J184" s="46"/>
      <c r="K184" t="s">
        <v>954</v>
      </c>
      <c r="L184" s="10" t="s">
        <v>28</v>
      </c>
      <c r="M184">
        <v>1</v>
      </c>
      <c r="N184">
        <v>1</v>
      </c>
      <c r="O184">
        <v>1</v>
      </c>
      <c r="P184">
        <f t="shared" si="2"/>
        <v>3</v>
      </c>
      <c r="Q184" s="11" t="s">
        <v>955</v>
      </c>
    </row>
    <row r="185" spans="1:65" ht="20" customHeight="1" x14ac:dyDescent="0.3">
      <c r="A185" s="73"/>
      <c r="B185" s="4" t="s">
        <v>956</v>
      </c>
      <c r="C185" s="4" t="s">
        <v>19</v>
      </c>
      <c r="D185" t="s">
        <v>931</v>
      </c>
      <c r="E185" t="s">
        <v>128</v>
      </c>
      <c r="F185" t="s">
        <v>957</v>
      </c>
      <c r="G185" t="s">
        <v>958</v>
      </c>
      <c r="H185" s="9" t="s">
        <v>953</v>
      </c>
      <c r="I185" s="38" t="s">
        <v>59</v>
      </c>
      <c r="J185" s="46"/>
      <c r="K185" s="6" t="s">
        <v>959</v>
      </c>
      <c r="L185" s="25" t="s">
        <v>62</v>
      </c>
      <c r="M185">
        <v>1</v>
      </c>
      <c r="N185">
        <v>1</v>
      </c>
      <c r="O185">
        <v>1</v>
      </c>
      <c r="P185">
        <f t="shared" si="2"/>
        <v>3</v>
      </c>
      <c r="Q185" s="11" t="s">
        <v>960</v>
      </c>
    </row>
    <row r="186" spans="1:65" ht="20" customHeight="1" x14ac:dyDescent="0.3">
      <c r="A186" s="73"/>
      <c r="B186" s="4" t="s">
        <v>961</v>
      </c>
      <c r="C186" s="4" t="s">
        <v>19</v>
      </c>
      <c r="D186" t="s">
        <v>931</v>
      </c>
      <c r="E186" t="s">
        <v>55</v>
      </c>
      <c r="F186" t="s">
        <v>962</v>
      </c>
      <c r="G186" t="s">
        <v>963</v>
      </c>
      <c r="H186" s="9" t="s">
        <v>953</v>
      </c>
      <c r="I186" s="38" t="s">
        <v>59</v>
      </c>
      <c r="J186" s="46"/>
      <c r="K186" s="6" t="s">
        <v>964</v>
      </c>
      <c r="L186" s="25" t="s">
        <v>62</v>
      </c>
      <c r="M186">
        <v>1</v>
      </c>
      <c r="N186">
        <v>1</v>
      </c>
      <c r="O186">
        <v>1</v>
      </c>
      <c r="P186">
        <f t="shared" si="2"/>
        <v>3</v>
      </c>
      <c r="Q186" s="11" t="s">
        <v>965</v>
      </c>
    </row>
    <row r="187" spans="1:65" s="4" customFormat="1" ht="20" customHeight="1" x14ac:dyDescent="0.2">
      <c r="A187" s="83"/>
      <c r="B187" s="84" t="s">
        <v>966</v>
      </c>
      <c r="C187" s="4" t="s">
        <v>44</v>
      </c>
      <c r="D187" t="s">
        <v>931</v>
      </c>
      <c r="E187" t="s">
        <v>113</v>
      </c>
      <c r="F187" s="4" t="s">
        <v>967</v>
      </c>
      <c r="G187" t="s">
        <v>968</v>
      </c>
      <c r="H187" s="9" t="s">
        <v>116</v>
      </c>
      <c r="I187" s="53" t="s">
        <v>25</v>
      </c>
      <c r="J187" s="46"/>
      <c r="K187" t="s">
        <v>969</v>
      </c>
      <c r="L187" s="38" t="s">
        <v>28</v>
      </c>
      <c r="M187">
        <v>1</v>
      </c>
      <c r="N187">
        <v>0</v>
      </c>
      <c r="O187">
        <v>0</v>
      </c>
      <c r="P187">
        <f t="shared" si="2"/>
        <v>1</v>
      </c>
      <c r="Q187" s="6" t="s">
        <v>970</v>
      </c>
    </row>
    <row r="188" spans="1:65" s="4" customFormat="1" ht="20" customHeight="1" x14ac:dyDescent="0.2">
      <c r="A188" s="83"/>
      <c r="B188" s="84" t="s">
        <v>971</v>
      </c>
      <c r="C188" s="4" t="s">
        <v>44</v>
      </c>
      <c r="D188" t="s">
        <v>931</v>
      </c>
      <c r="E188" t="s">
        <v>113</v>
      </c>
      <c r="F188" s="4" t="s">
        <v>972</v>
      </c>
      <c r="G188" s="4" t="s">
        <v>973</v>
      </c>
      <c r="H188" s="9" t="s">
        <v>116</v>
      </c>
      <c r="I188" s="53" t="s">
        <v>25</v>
      </c>
      <c r="J188" s="46"/>
      <c r="K188" s="6" t="s">
        <v>974</v>
      </c>
      <c r="L188" s="38" t="s">
        <v>28</v>
      </c>
      <c r="M188">
        <v>1</v>
      </c>
      <c r="N188">
        <v>0</v>
      </c>
      <c r="O188">
        <v>0</v>
      </c>
      <c r="P188">
        <f t="shared" ref="P188:P251" si="3">M188+N188+O188</f>
        <v>1</v>
      </c>
      <c r="Q188" s="6" t="s">
        <v>975</v>
      </c>
    </row>
    <row r="189" spans="1:65" s="4" customFormat="1" ht="20" customHeight="1" x14ac:dyDescent="0.2">
      <c r="A189" s="83"/>
      <c r="B189" s="84" t="s">
        <v>976</v>
      </c>
      <c r="C189" s="4" t="s">
        <v>44</v>
      </c>
      <c r="D189" t="s">
        <v>931</v>
      </c>
      <c r="E189" t="s">
        <v>113</v>
      </c>
      <c r="F189" s="4" t="s">
        <v>972</v>
      </c>
      <c r="G189" t="s">
        <v>968</v>
      </c>
      <c r="H189" s="9" t="s">
        <v>116</v>
      </c>
      <c r="I189" s="53" t="s">
        <v>25</v>
      </c>
      <c r="J189" s="46"/>
      <c r="K189" s="6" t="s">
        <v>977</v>
      </c>
      <c r="L189" s="38" t="s">
        <v>28</v>
      </c>
      <c r="M189">
        <v>1</v>
      </c>
      <c r="N189">
        <v>0</v>
      </c>
      <c r="O189">
        <v>0</v>
      </c>
      <c r="P189">
        <f t="shared" si="3"/>
        <v>1</v>
      </c>
      <c r="Q189" s="6" t="s">
        <v>978</v>
      </c>
    </row>
    <row r="190" spans="1:65" s="4" customFormat="1" ht="20" customHeight="1" x14ac:dyDescent="0.2">
      <c r="A190" s="83"/>
      <c r="B190" s="84" t="s">
        <v>979</v>
      </c>
      <c r="C190" s="4" t="s">
        <v>44</v>
      </c>
      <c r="D190" t="s">
        <v>931</v>
      </c>
      <c r="E190" t="s">
        <v>980</v>
      </c>
      <c r="F190" s="4" t="s">
        <v>981</v>
      </c>
      <c r="G190" s="4" t="s">
        <v>982</v>
      </c>
      <c r="H190" s="9" t="s">
        <v>116</v>
      </c>
      <c r="I190" s="53" t="s">
        <v>25</v>
      </c>
      <c r="J190" s="46"/>
      <c r="K190" s="6" t="s">
        <v>983</v>
      </c>
      <c r="L190" s="53" t="s">
        <v>62</v>
      </c>
      <c r="M190">
        <v>1</v>
      </c>
      <c r="N190">
        <v>0</v>
      </c>
      <c r="O190">
        <v>0</v>
      </c>
      <c r="P190">
        <f t="shared" si="3"/>
        <v>1</v>
      </c>
      <c r="Q190" s="6" t="s">
        <v>984</v>
      </c>
    </row>
    <row r="191" spans="1:65" s="4" customFormat="1" ht="20" customHeight="1" x14ac:dyDescent="0.2">
      <c r="A191" s="83"/>
      <c r="B191" s="84" t="s">
        <v>985</v>
      </c>
      <c r="C191" s="4" t="s">
        <v>19</v>
      </c>
      <c r="D191" t="s">
        <v>931</v>
      </c>
      <c r="E191" t="s">
        <v>21</v>
      </c>
      <c r="F191" s="4" t="s">
        <v>986</v>
      </c>
      <c r="G191" s="4" t="s">
        <v>987</v>
      </c>
      <c r="H191" s="11" t="s">
        <v>988</v>
      </c>
      <c r="I191" s="53" t="s">
        <v>25</v>
      </c>
      <c r="J191" s="46"/>
      <c r="K191" s="6" t="s">
        <v>989</v>
      </c>
      <c r="L191" s="38" t="s">
        <v>28</v>
      </c>
      <c r="M191">
        <v>1</v>
      </c>
      <c r="N191">
        <v>0</v>
      </c>
      <c r="O191">
        <v>0</v>
      </c>
      <c r="P191">
        <f t="shared" si="3"/>
        <v>1</v>
      </c>
      <c r="Q191" s="6" t="s">
        <v>990</v>
      </c>
    </row>
    <row r="192" spans="1:65" s="4" customFormat="1" ht="20" customHeight="1" x14ac:dyDescent="0.2">
      <c r="A192" s="83"/>
      <c r="B192" s="84" t="s">
        <v>991</v>
      </c>
      <c r="C192" s="4" t="s">
        <v>44</v>
      </c>
      <c r="D192" t="s">
        <v>931</v>
      </c>
      <c r="E192" t="s">
        <v>113</v>
      </c>
      <c r="F192" s="4" t="s">
        <v>992</v>
      </c>
      <c r="G192" s="4" t="s">
        <v>993</v>
      </c>
      <c r="H192" s="9" t="s">
        <v>116</v>
      </c>
      <c r="I192" s="53" t="s">
        <v>25</v>
      </c>
      <c r="J192" s="46"/>
      <c r="K192" s="6" t="s">
        <v>994</v>
      </c>
      <c r="L192" s="38" t="s">
        <v>28</v>
      </c>
      <c r="M192">
        <v>1</v>
      </c>
      <c r="N192">
        <v>0</v>
      </c>
      <c r="O192">
        <v>0</v>
      </c>
      <c r="P192">
        <f t="shared" si="3"/>
        <v>1</v>
      </c>
      <c r="Q192" s="6" t="s">
        <v>995</v>
      </c>
    </row>
    <row r="193" spans="1:17" s="4" customFormat="1" ht="20" customHeight="1" x14ac:dyDescent="0.2">
      <c r="A193" s="83"/>
      <c r="B193" s="84" t="s">
        <v>996</v>
      </c>
      <c r="C193" s="4" t="s">
        <v>44</v>
      </c>
      <c r="D193" t="s">
        <v>931</v>
      </c>
      <c r="E193" t="s">
        <v>55</v>
      </c>
      <c r="F193" s="4" t="s">
        <v>997</v>
      </c>
      <c r="G193" s="4" t="s">
        <v>998</v>
      </c>
      <c r="H193" s="9" t="s">
        <v>116</v>
      </c>
      <c r="I193" s="53" t="s">
        <v>25</v>
      </c>
      <c r="J193" s="46"/>
      <c r="K193" t="s">
        <v>999</v>
      </c>
      <c r="L193" s="53" t="s">
        <v>62</v>
      </c>
      <c r="M193">
        <v>1</v>
      </c>
      <c r="N193">
        <v>0</v>
      </c>
      <c r="O193">
        <v>0</v>
      </c>
      <c r="P193">
        <f t="shared" si="3"/>
        <v>1</v>
      </c>
      <c r="Q193" s="6" t="s">
        <v>1000</v>
      </c>
    </row>
    <row r="194" spans="1:17" s="4" customFormat="1" ht="20" customHeight="1" x14ac:dyDescent="0.2">
      <c r="A194" s="83"/>
      <c r="B194" s="84" t="s">
        <v>1001</v>
      </c>
      <c r="C194" s="4" t="s">
        <v>44</v>
      </c>
      <c r="D194" t="s">
        <v>931</v>
      </c>
      <c r="E194" t="s">
        <v>55</v>
      </c>
      <c r="F194" s="4" t="s">
        <v>1002</v>
      </c>
      <c r="G194" s="4" t="s">
        <v>1003</v>
      </c>
      <c r="H194" s="9" t="s">
        <v>116</v>
      </c>
      <c r="I194" s="53" t="s">
        <v>25</v>
      </c>
      <c r="J194" s="46"/>
      <c r="K194" t="s">
        <v>1004</v>
      </c>
      <c r="L194" s="53" t="s">
        <v>62</v>
      </c>
      <c r="M194">
        <v>1</v>
      </c>
      <c r="N194">
        <v>0</v>
      </c>
      <c r="O194">
        <v>0</v>
      </c>
      <c r="P194">
        <f t="shared" si="3"/>
        <v>1</v>
      </c>
      <c r="Q194" s="6" t="s">
        <v>1005</v>
      </c>
    </row>
    <row r="195" spans="1:17" s="4" customFormat="1" ht="20" customHeight="1" x14ac:dyDescent="0.2">
      <c r="A195" s="83"/>
      <c r="B195" s="84" t="s">
        <v>1006</v>
      </c>
      <c r="C195" s="4" t="s">
        <v>44</v>
      </c>
      <c r="D195" t="s">
        <v>931</v>
      </c>
      <c r="E195" t="s">
        <v>128</v>
      </c>
      <c r="F195" s="4" t="s">
        <v>1007</v>
      </c>
      <c r="G195" s="4" t="s">
        <v>1008</v>
      </c>
      <c r="H195" s="9" t="s">
        <v>116</v>
      </c>
      <c r="I195" s="53" t="s">
        <v>25</v>
      </c>
      <c r="J195" s="46"/>
      <c r="K195" t="s">
        <v>1009</v>
      </c>
      <c r="L195" s="53" t="s">
        <v>62</v>
      </c>
      <c r="M195">
        <v>1</v>
      </c>
      <c r="N195">
        <v>0</v>
      </c>
      <c r="O195">
        <v>0</v>
      </c>
      <c r="P195">
        <f t="shared" si="3"/>
        <v>1</v>
      </c>
      <c r="Q195" s="6" t="s">
        <v>1000</v>
      </c>
    </row>
    <row r="196" spans="1:17" s="4" customFormat="1" ht="20" customHeight="1" x14ac:dyDescent="0.2">
      <c r="A196" s="83"/>
      <c r="B196" s="84" t="s">
        <v>1010</v>
      </c>
      <c r="C196" s="4" t="s">
        <v>44</v>
      </c>
      <c r="D196" t="s">
        <v>931</v>
      </c>
      <c r="E196" t="s">
        <v>653</v>
      </c>
      <c r="F196" t="s">
        <v>1011</v>
      </c>
      <c r="G196" t="s">
        <v>1012</v>
      </c>
      <c r="H196" s="9" t="s">
        <v>116</v>
      </c>
      <c r="I196" s="53" t="s">
        <v>25</v>
      </c>
      <c r="J196" s="46"/>
      <c r="K196" t="s">
        <v>1013</v>
      </c>
      <c r="L196" s="38" t="s">
        <v>28</v>
      </c>
      <c r="M196">
        <v>1</v>
      </c>
      <c r="N196">
        <v>0</v>
      </c>
      <c r="O196">
        <v>0</v>
      </c>
      <c r="P196">
        <f t="shared" si="3"/>
        <v>1</v>
      </c>
      <c r="Q196" s="6" t="s">
        <v>1014</v>
      </c>
    </row>
    <row r="197" spans="1:17" s="4" customFormat="1" ht="20" customHeight="1" x14ac:dyDescent="0.2">
      <c r="A197" s="83"/>
      <c r="B197" s="84" t="s">
        <v>1015</v>
      </c>
      <c r="C197" s="4" t="s">
        <v>44</v>
      </c>
      <c r="D197" t="s">
        <v>931</v>
      </c>
      <c r="E197" s="4" t="s">
        <v>653</v>
      </c>
      <c r="F197" s="4" t="s">
        <v>1016</v>
      </c>
      <c r="G197" s="4" t="s">
        <v>1017</v>
      </c>
      <c r="H197" s="9" t="s">
        <v>116</v>
      </c>
      <c r="I197" s="53" t="s">
        <v>25</v>
      </c>
      <c r="J197" s="46"/>
      <c r="K197" t="s">
        <v>1018</v>
      </c>
      <c r="L197" s="38" t="s">
        <v>28</v>
      </c>
      <c r="M197">
        <v>1</v>
      </c>
      <c r="N197">
        <v>0</v>
      </c>
      <c r="O197">
        <v>0</v>
      </c>
      <c r="P197">
        <f t="shared" si="3"/>
        <v>1</v>
      </c>
      <c r="Q197" s="6" t="s">
        <v>1019</v>
      </c>
    </row>
    <row r="198" spans="1:17" s="14" customFormat="1" ht="20" customHeight="1" x14ac:dyDescent="0.2">
      <c r="A198" s="85"/>
      <c r="B198" s="86" t="s">
        <v>1020</v>
      </c>
      <c r="C198" s="14" t="s">
        <v>44</v>
      </c>
      <c r="D198" s="15" t="s">
        <v>931</v>
      </c>
      <c r="E198" s="14" t="s">
        <v>113</v>
      </c>
      <c r="F198" s="14" t="s">
        <v>1021</v>
      </c>
      <c r="G198" s="14" t="s">
        <v>1022</v>
      </c>
      <c r="H198" s="81" t="s">
        <v>116</v>
      </c>
      <c r="I198" s="42" t="s">
        <v>25</v>
      </c>
      <c r="J198" s="48"/>
      <c r="K198" s="15" t="s">
        <v>1023</v>
      </c>
      <c r="L198" s="72" t="s">
        <v>28</v>
      </c>
      <c r="M198" s="14">
        <v>1</v>
      </c>
      <c r="N198" s="14">
        <v>0</v>
      </c>
      <c r="O198" s="14">
        <v>0</v>
      </c>
      <c r="P198" s="15">
        <f t="shared" si="3"/>
        <v>1</v>
      </c>
      <c r="Q198" s="16" t="s">
        <v>1024</v>
      </c>
    </row>
    <row r="199" spans="1:17" ht="20" customHeight="1" x14ac:dyDescent="0.3">
      <c r="A199" s="87" t="s">
        <v>1025</v>
      </c>
      <c r="B199" t="s">
        <v>1026</v>
      </c>
      <c r="C199" s="4" t="s">
        <v>19</v>
      </c>
      <c r="D199" t="s">
        <v>1027</v>
      </c>
      <c r="E199" s="27" t="s">
        <v>91</v>
      </c>
      <c r="F199" s="5" t="s">
        <v>268</v>
      </c>
      <c r="G199" s="5" t="s">
        <v>269</v>
      </c>
      <c r="H199" s="88" t="s">
        <v>1028</v>
      </c>
      <c r="I199" s="38" t="s">
        <v>59</v>
      </c>
      <c r="J199" s="45" t="s">
        <v>1029</v>
      </c>
      <c r="K199" s="6" t="s">
        <v>1030</v>
      </c>
      <c r="L199" s="53" t="s">
        <v>62</v>
      </c>
      <c r="M199" s="4">
        <v>1</v>
      </c>
      <c r="N199" s="4">
        <v>1</v>
      </c>
      <c r="O199" s="4">
        <v>1</v>
      </c>
      <c r="P199">
        <f t="shared" si="3"/>
        <v>3</v>
      </c>
      <c r="Q199" s="11" t="s">
        <v>1031</v>
      </c>
    </row>
    <row r="200" spans="1:17" ht="20" customHeight="1" x14ac:dyDescent="0.3">
      <c r="A200" s="87"/>
      <c r="B200" s="84" t="s">
        <v>319</v>
      </c>
      <c r="C200" s="4" t="s">
        <v>19</v>
      </c>
      <c r="D200" t="s">
        <v>1032</v>
      </c>
      <c r="E200" s="4" t="s">
        <v>128</v>
      </c>
      <c r="F200" s="4" t="s">
        <v>321</v>
      </c>
      <c r="G200" s="4" t="s">
        <v>322</v>
      </c>
      <c r="H200" s="6" t="s">
        <v>323</v>
      </c>
      <c r="I200" s="38" t="s">
        <v>59</v>
      </c>
      <c r="J200" s="46"/>
      <c r="K200" s="6" t="s">
        <v>1033</v>
      </c>
      <c r="L200" s="53" t="s">
        <v>62</v>
      </c>
      <c r="M200" s="4">
        <v>1</v>
      </c>
      <c r="N200" s="4">
        <v>1</v>
      </c>
      <c r="O200" s="4">
        <v>1</v>
      </c>
      <c r="P200">
        <f t="shared" si="3"/>
        <v>3</v>
      </c>
      <c r="Q200" s="11" t="s">
        <v>1034</v>
      </c>
    </row>
    <row r="201" spans="1:17" ht="20" customHeight="1" x14ac:dyDescent="0.3">
      <c r="A201" s="87"/>
      <c r="B201" s="84" t="s">
        <v>1035</v>
      </c>
      <c r="C201" s="4" t="s">
        <v>19</v>
      </c>
      <c r="D201" t="s">
        <v>1036</v>
      </c>
      <c r="E201" t="s">
        <v>21</v>
      </c>
      <c r="F201" s="4" t="s">
        <v>384</v>
      </c>
      <c r="G201" s="4" t="s">
        <v>385</v>
      </c>
      <c r="H201" s="6" t="s">
        <v>1037</v>
      </c>
      <c r="I201" s="38" t="s">
        <v>59</v>
      </c>
      <c r="J201" s="46"/>
      <c r="K201" t="s">
        <v>1038</v>
      </c>
      <c r="L201" s="38" t="s">
        <v>28</v>
      </c>
      <c r="M201" s="4">
        <v>1</v>
      </c>
      <c r="N201" s="4">
        <v>1</v>
      </c>
      <c r="O201" s="4">
        <v>1</v>
      </c>
      <c r="P201">
        <f>M201+N201+O201</f>
        <v>3</v>
      </c>
      <c r="Q201" s="11" t="s">
        <v>1039</v>
      </c>
    </row>
    <row r="202" spans="1:17" ht="20" customHeight="1" x14ac:dyDescent="0.3">
      <c r="A202" s="87"/>
      <c r="B202" s="84" t="s">
        <v>1040</v>
      </c>
      <c r="C202" s="4" t="s">
        <v>19</v>
      </c>
      <c r="D202" t="s">
        <v>1036</v>
      </c>
      <c r="E202" t="s">
        <v>21</v>
      </c>
      <c r="F202" t="s">
        <v>1041</v>
      </c>
      <c r="G202" t="s">
        <v>1042</v>
      </c>
      <c r="H202" s="11" t="s">
        <v>1043</v>
      </c>
      <c r="I202" s="38" t="s">
        <v>59</v>
      </c>
      <c r="J202" s="46"/>
      <c r="K202" s="6" t="s">
        <v>1044</v>
      </c>
      <c r="L202" s="38" t="s">
        <v>28</v>
      </c>
      <c r="M202" s="4">
        <v>1</v>
      </c>
      <c r="N202" s="4">
        <v>1</v>
      </c>
      <c r="O202" s="4">
        <v>1</v>
      </c>
      <c r="P202">
        <f t="shared" si="3"/>
        <v>3</v>
      </c>
      <c r="Q202" s="11" t="s">
        <v>1045</v>
      </c>
    </row>
    <row r="203" spans="1:17" s="15" customFormat="1" ht="20" customHeight="1" x14ac:dyDescent="0.3">
      <c r="A203" s="89"/>
      <c r="B203" s="86" t="s">
        <v>1046</v>
      </c>
      <c r="C203" s="14" t="s">
        <v>19</v>
      </c>
      <c r="D203" s="15" t="s">
        <v>1047</v>
      </c>
      <c r="E203" s="15" t="s">
        <v>113</v>
      </c>
      <c r="F203" s="15" t="s">
        <v>1048</v>
      </c>
      <c r="G203" s="15" t="s">
        <v>1049</v>
      </c>
      <c r="H203" s="21" t="s">
        <v>1050</v>
      </c>
      <c r="I203" s="72" t="s">
        <v>59</v>
      </c>
      <c r="J203" s="48"/>
      <c r="K203" s="16" t="s">
        <v>1051</v>
      </c>
      <c r="L203" s="20" t="s">
        <v>28</v>
      </c>
      <c r="M203" s="15">
        <v>1</v>
      </c>
      <c r="N203" s="15">
        <v>1</v>
      </c>
      <c r="O203" s="15">
        <v>1</v>
      </c>
      <c r="P203" s="15">
        <f t="shared" si="3"/>
        <v>3</v>
      </c>
      <c r="Q203" s="21" t="s">
        <v>1052</v>
      </c>
    </row>
    <row r="204" spans="1:17" ht="20" customHeight="1" x14ac:dyDescent="0.3">
      <c r="A204" s="77" t="s">
        <v>1053</v>
      </c>
      <c r="B204" t="s">
        <v>1026</v>
      </c>
      <c r="C204" s="4" t="s">
        <v>19</v>
      </c>
      <c r="D204" t="s">
        <v>1027</v>
      </c>
      <c r="E204" s="27" t="s">
        <v>91</v>
      </c>
      <c r="F204" s="5" t="s">
        <v>268</v>
      </c>
      <c r="G204" s="5" t="s">
        <v>269</v>
      </c>
      <c r="H204" s="88" t="s">
        <v>1028</v>
      </c>
      <c r="I204" s="38" t="s">
        <v>59</v>
      </c>
      <c r="J204" s="45" t="s">
        <v>1029</v>
      </c>
      <c r="K204" s="6" t="s">
        <v>1030</v>
      </c>
      <c r="L204" s="53" t="s">
        <v>62</v>
      </c>
      <c r="M204">
        <v>1</v>
      </c>
      <c r="N204">
        <v>1</v>
      </c>
      <c r="O204">
        <v>1</v>
      </c>
      <c r="P204">
        <f t="shared" si="3"/>
        <v>3</v>
      </c>
      <c r="Q204" s="11" t="s">
        <v>1054</v>
      </c>
    </row>
    <row r="205" spans="1:17" ht="20" customHeight="1" x14ac:dyDescent="0.3">
      <c r="A205" s="77"/>
      <c r="B205" s="84" t="s">
        <v>319</v>
      </c>
      <c r="C205" s="4" t="s">
        <v>19</v>
      </c>
      <c r="D205" t="s">
        <v>1032</v>
      </c>
      <c r="E205" s="4" t="s">
        <v>128</v>
      </c>
      <c r="F205" s="4" t="s">
        <v>321</v>
      </c>
      <c r="G205" s="4" t="s">
        <v>322</v>
      </c>
      <c r="H205" s="6" t="s">
        <v>323</v>
      </c>
      <c r="I205" s="38" t="s">
        <v>59</v>
      </c>
      <c r="J205" s="46"/>
      <c r="K205" s="6" t="s">
        <v>1033</v>
      </c>
      <c r="L205" s="53" t="s">
        <v>62</v>
      </c>
      <c r="M205">
        <v>1</v>
      </c>
      <c r="N205">
        <v>1</v>
      </c>
      <c r="O205">
        <v>1</v>
      </c>
      <c r="P205">
        <f t="shared" si="3"/>
        <v>3</v>
      </c>
      <c r="Q205" s="11" t="s">
        <v>1055</v>
      </c>
    </row>
    <row r="206" spans="1:17" ht="20" customHeight="1" x14ac:dyDescent="0.3">
      <c r="A206" s="77"/>
      <c r="B206" s="84" t="s">
        <v>1035</v>
      </c>
      <c r="C206" s="4" t="s">
        <v>19</v>
      </c>
      <c r="D206" t="s">
        <v>1036</v>
      </c>
      <c r="E206" t="s">
        <v>21</v>
      </c>
      <c r="F206" s="4" t="s">
        <v>384</v>
      </c>
      <c r="G206" s="4" t="s">
        <v>385</v>
      </c>
      <c r="H206" s="6" t="s">
        <v>1037</v>
      </c>
      <c r="I206" s="38" t="s">
        <v>59</v>
      </c>
      <c r="J206" s="46"/>
      <c r="K206" t="s">
        <v>1038</v>
      </c>
      <c r="L206" s="38" t="s">
        <v>28</v>
      </c>
      <c r="M206">
        <v>1</v>
      </c>
      <c r="N206">
        <v>1</v>
      </c>
      <c r="O206">
        <v>1</v>
      </c>
      <c r="P206">
        <f t="shared" si="3"/>
        <v>3</v>
      </c>
      <c r="Q206" s="11" t="s">
        <v>1056</v>
      </c>
    </row>
    <row r="207" spans="1:17" ht="20" customHeight="1" x14ac:dyDescent="0.3">
      <c r="A207" s="77"/>
      <c r="B207" s="84" t="s">
        <v>1040</v>
      </c>
      <c r="C207" s="4" t="s">
        <v>19</v>
      </c>
      <c r="D207" t="s">
        <v>1036</v>
      </c>
      <c r="E207" t="s">
        <v>21</v>
      </c>
      <c r="F207" t="s">
        <v>1041</v>
      </c>
      <c r="G207" t="s">
        <v>1042</v>
      </c>
      <c r="H207" s="11" t="s">
        <v>1043</v>
      </c>
      <c r="I207" s="38" t="s">
        <v>59</v>
      </c>
      <c r="J207" s="46"/>
      <c r="K207" s="6" t="s">
        <v>1044</v>
      </c>
      <c r="L207" s="38" t="s">
        <v>28</v>
      </c>
      <c r="M207">
        <v>1</v>
      </c>
      <c r="N207">
        <v>1</v>
      </c>
      <c r="O207">
        <v>0</v>
      </c>
      <c r="P207">
        <f t="shared" si="3"/>
        <v>2</v>
      </c>
      <c r="Q207" s="11" t="s">
        <v>1057</v>
      </c>
    </row>
    <row r="208" spans="1:17" s="14" customFormat="1" ht="20" customHeight="1" x14ac:dyDescent="0.3">
      <c r="A208" s="78"/>
      <c r="B208" s="86" t="s">
        <v>1046</v>
      </c>
      <c r="C208" s="14" t="s">
        <v>19</v>
      </c>
      <c r="D208" s="14" t="s">
        <v>1047</v>
      </c>
      <c r="E208" s="14" t="s">
        <v>113</v>
      </c>
      <c r="F208" s="14" t="s">
        <v>1048</v>
      </c>
      <c r="G208" s="14" t="s">
        <v>1049</v>
      </c>
      <c r="H208" s="16" t="s">
        <v>1050</v>
      </c>
      <c r="I208" s="72" t="s">
        <v>59</v>
      </c>
      <c r="J208" s="48"/>
      <c r="K208" s="16" t="s">
        <v>1051</v>
      </c>
      <c r="L208" s="72" t="s">
        <v>28</v>
      </c>
      <c r="M208" s="14">
        <v>1</v>
      </c>
      <c r="N208" s="14">
        <v>1</v>
      </c>
      <c r="O208" s="14">
        <v>1</v>
      </c>
      <c r="P208" s="15">
        <f t="shared" si="3"/>
        <v>3</v>
      </c>
      <c r="Q208" s="16" t="s">
        <v>1058</v>
      </c>
    </row>
    <row r="209" spans="1:65" ht="20" customHeight="1" x14ac:dyDescent="0.3">
      <c r="A209" s="32" t="s">
        <v>1059</v>
      </c>
      <c r="B209" s="84" t="s">
        <v>1035</v>
      </c>
      <c r="C209" s="4" t="s">
        <v>44</v>
      </c>
      <c r="D209" t="s">
        <v>1036</v>
      </c>
      <c r="E209" t="s">
        <v>21</v>
      </c>
      <c r="F209" s="4" t="s">
        <v>384</v>
      </c>
      <c r="G209" s="4" t="s">
        <v>385</v>
      </c>
      <c r="H209" s="6" t="s">
        <v>1037</v>
      </c>
      <c r="I209" s="53" t="s">
        <v>25</v>
      </c>
      <c r="J209" s="45" t="s">
        <v>1060</v>
      </c>
      <c r="K209" s="6" t="s">
        <v>1061</v>
      </c>
      <c r="L209" s="38" t="s">
        <v>28</v>
      </c>
      <c r="M209" s="4">
        <v>1</v>
      </c>
      <c r="N209" s="4">
        <v>1</v>
      </c>
      <c r="O209" s="4">
        <v>1</v>
      </c>
      <c r="P209">
        <f t="shared" si="3"/>
        <v>3</v>
      </c>
      <c r="Q209" s="11" t="s">
        <v>1062</v>
      </c>
    </row>
    <row r="210" spans="1:65" ht="20" customHeight="1" x14ac:dyDescent="0.3">
      <c r="A210" s="32"/>
      <c r="B210" s="84" t="s">
        <v>1040</v>
      </c>
      <c r="C210" s="4" t="s">
        <v>44</v>
      </c>
      <c r="D210" t="s">
        <v>1036</v>
      </c>
      <c r="E210" t="s">
        <v>21</v>
      </c>
      <c r="F210" t="s">
        <v>1041</v>
      </c>
      <c r="G210" t="s">
        <v>1042</v>
      </c>
      <c r="H210" s="11" t="s">
        <v>1043</v>
      </c>
      <c r="I210" s="53" t="s">
        <v>25</v>
      </c>
      <c r="J210" s="46"/>
      <c r="K210" s="6" t="s">
        <v>1063</v>
      </c>
      <c r="L210" s="38" t="s">
        <v>28</v>
      </c>
      <c r="M210" s="4">
        <v>1</v>
      </c>
      <c r="N210" s="4">
        <v>0</v>
      </c>
      <c r="O210" s="4">
        <v>0</v>
      </c>
      <c r="P210">
        <f t="shared" si="3"/>
        <v>1</v>
      </c>
      <c r="Q210" s="11" t="s">
        <v>1064</v>
      </c>
    </row>
    <row r="211" spans="1:65" ht="20" customHeight="1" x14ac:dyDescent="0.3">
      <c r="A211" s="32"/>
      <c r="B211" s="84" t="s">
        <v>326</v>
      </c>
      <c r="C211" s="4" t="s">
        <v>44</v>
      </c>
      <c r="D211" t="s">
        <v>1065</v>
      </c>
      <c r="E211" s="4" t="s">
        <v>220</v>
      </c>
      <c r="F211" s="4" t="s">
        <v>327</v>
      </c>
      <c r="G211" s="4" t="s">
        <v>328</v>
      </c>
      <c r="H211" s="6" t="s">
        <v>329</v>
      </c>
      <c r="I211" s="53" t="s">
        <v>25</v>
      </c>
      <c r="J211" s="46"/>
      <c r="K211" s="6" t="s">
        <v>1066</v>
      </c>
      <c r="L211" s="38" t="s">
        <v>28</v>
      </c>
      <c r="M211" s="4">
        <v>1</v>
      </c>
      <c r="N211" s="4">
        <v>0</v>
      </c>
      <c r="O211" s="4">
        <v>0</v>
      </c>
      <c r="P211">
        <f t="shared" si="3"/>
        <v>1</v>
      </c>
      <c r="Q211" s="11" t="s">
        <v>1067</v>
      </c>
    </row>
    <row r="212" spans="1:65" ht="20" customHeight="1" x14ac:dyDescent="0.3">
      <c r="A212" s="32"/>
      <c r="B212" s="84" t="s">
        <v>1068</v>
      </c>
      <c r="C212" s="4" t="s">
        <v>44</v>
      </c>
      <c r="D212" t="s">
        <v>1069</v>
      </c>
      <c r="E212" s="4" t="s">
        <v>91</v>
      </c>
      <c r="F212" t="s">
        <v>1070</v>
      </c>
      <c r="G212" t="s">
        <v>1071</v>
      </c>
      <c r="H212" s="11" t="s">
        <v>1072</v>
      </c>
      <c r="I212" s="53" t="s">
        <v>25</v>
      </c>
      <c r="J212" s="46"/>
      <c r="K212" t="s">
        <v>1073</v>
      </c>
      <c r="L212" s="53" t="s">
        <v>62</v>
      </c>
      <c r="M212" s="4">
        <v>1</v>
      </c>
      <c r="N212" s="4">
        <v>0</v>
      </c>
      <c r="O212" s="4">
        <v>0</v>
      </c>
      <c r="P212">
        <f t="shared" si="3"/>
        <v>1</v>
      </c>
      <c r="Q212" s="11" t="s">
        <v>1074</v>
      </c>
    </row>
    <row r="213" spans="1:65" s="15" customFormat="1" ht="20" customHeight="1" x14ac:dyDescent="0.3">
      <c r="A213" s="35"/>
      <c r="B213" s="86" t="s">
        <v>1075</v>
      </c>
      <c r="C213" s="14" t="s">
        <v>44</v>
      </c>
      <c r="D213" s="15" t="s">
        <v>1076</v>
      </c>
      <c r="E213" s="15" t="s">
        <v>220</v>
      </c>
      <c r="F213" s="15" t="s">
        <v>1077</v>
      </c>
      <c r="G213" s="15" t="s">
        <v>1078</v>
      </c>
      <c r="H213" s="21" t="s">
        <v>1072</v>
      </c>
      <c r="I213" s="42" t="s">
        <v>25</v>
      </c>
      <c r="J213" s="48"/>
      <c r="K213" s="15" t="s">
        <v>1079</v>
      </c>
      <c r="L213" s="20" t="s">
        <v>62</v>
      </c>
      <c r="M213" s="15">
        <v>1</v>
      </c>
      <c r="N213" s="15">
        <v>1</v>
      </c>
      <c r="O213" s="15">
        <v>0</v>
      </c>
      <c r="P213" s="15">
        <f t="shared" si="3"/>
        <v>2</v>
      </c>
      <c r="Q213" s="21" t="s">
        <v>1080</v>
      </c>
    </row>
    <row r="214" spans="1:65" s="15" customFormat="1" ht="20" customHeight="1" x14ac:dyDescent="0.3">
      <c r="A214" s="39" t="s">
        <v>1081</v>
      </c>
      <c r="B214" s="14" t="s">
        <v>1082</v>
      </c>
      <c r="C214" s="14" t="s">
        <v>44</v>
      </c>
      <c r="D214" s="15" t="s">
        <v>1083</v>
      </c>
      <c r="E214" s="15" t="s">
        <v>113</v>
      </c>
      <c r="F214" s="15" t="s">
        <v>1084</v>
      </c>
      <c r="G214" s="15" t="s">
        <v>1085</v>
      </c>
      <c r="H214" s="16" t="s">
        <v>1086</v>
      </c>
      <c r="I214" s="42" t="s">
        <v>25</v>
      </c>
      <c r="J214" s="15" t="s">
        <v>1087</v>
      </c>
      <c r="K214" s="16" t="s">
        <v>1088</v>
      </c>
      <c r="L214" s="20" t="s">
        <v>28</v>
      </c>
      <c r="M214" s="15">
        <v>1</v>
      </c>
      <c r="N214" s="15">
        <v>0</v>
      </c>
      <c r="O214" s="15">
        <v>0</v>
      </c>
      <c r="P214">
        <f t="shared" si="3"/>
        <v>1</v>
      </c>
      <c r="Q214" s="21" t="s">
        <v>1089</v>
      </c>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row>
    <row r="215" spans="1:65" ht="20" customHeight="1" x14ac:dyDescent="0.3">
      <c r="A215" s="90" t="s">
        <v>1090</v>
      </c>
      <c r="B215" t="s">
        <v>1091</v>
      </c>
      <c r="C215" s="4" t="s">
        <v>19</v>
      </c>
      <c r="D215" t="s">
        <v>383</v>
      </c>
      <c r="E215" t="s">
        <v>21</v>
      </c>
      <c r="F215" s="4" t="s">
        <v>384</v>
      </c>
      <c r="G215" s="4" t="s">
        <v>385</v>
      </c>
      <c r="H215" s="6" t="s">
        <v>386</v>
      </c>
      <c r="I215" s="38" t="s">
        <v>59</v>
      </c>
      <c r="J215" s="45" t="s">
        <v>1092</v>
      </c>
      <c r="K215" s="6" t="s">
        <v>1093</v>
      </c>
      <c r="L215" s="10" t="s">
        <v>28</v>
      </c>
      <c r="M215">
        <v>1</v>
      </c>
      <c r="N215">
        <v>1</v>
      </c>
      <c r="O215">
        <v>1</v>
      </c>
      <c r="P215">
        <f t="shared" si="3"/>
        <v>3</v>
      </c>
      <c r="Q215" s="11" t="s">
        <v>1094</v>
      </c>
    </row>
    <row r="216" spans="1:65" ht="20" customHeight="1" x14ac:dyDescent="0.3">
      <c r="A216" s="90"/>
      <c r="B216" t="s">
        <v>389</v>
      </c>
      <c r="C216" s="4" t="s">
        <v>19</v>
      </c>
      <c r="D216" t="s">
        <v>383</v>
      </c>
      <c r="E216" t="s">
        <v>220</v>
      </c>
      <c r="F216" s="4" t="s">
        <v>390</v>
      </c>
      <c r="G216" s="4" t="s">
        <v>391</v>
      </c>
      <c r="H216" s="6" t="s">
        <v>386</v>
      </c>
      <c r="I216" s="38" t="s">
        <v>59</v>
      </c>
      <c r="J216" s="46"/>
      <c r="K216" s="4" t="s">
        <v>1095</v>
      </c>
      <c r="L216" s="10" t="s">
        <v>28</v>
      </c>
      <c r="M216">
        <v>1</v>
      </c>
      <c r="N216">
        <v>1</v>
      </c>
      <c r="O216">
        <v>1</v>
      </c>
      <c r="P216">
        <f t="shared" si="3"/>
        <v>3</v>
      </c>
      <c r="Q216" s="11" t="s">
        <v>1096</v>
      </c>
    </row>
    <row r="217" spans="1:65" ht="20" customHeight="1" x14ac:dyDescent="0.3">
      <c r="A217" s="90"/>
      <c r="B217" t="s">
        <v>1097</v>
      </c>
      <c r="C217" s="4" t="s">
        <v>19</v>
      </c>
      <c r="D217" t="s">
        <v>383</v>
      </c>
      <c r="E217" t="s">
        <v>220</v>
      </c>
      <c r="F217" t="s">
        <v>1098</v>
      </c>
      <c r="G217" t="s">
        <v>1099</v>
      </c>
      <c r="H217" s="6" t="s">
        <v>1100</v>
      </c>
      <c r="I217" s="38" t="s">
        <v>59</v>
      </c>
      <c r="J217" s="46"/>
      <c r="K217" s="6" t="s">
        <v>1101</v>
      </c>
      <c r="L217" s="10" t="s">
        <v>28</v>
      </c>
      <c r="M217">
        <v>1</v>
      </c>
      <c r="N217">
        <v>0</v>
      </c>
      <c r="O217">
        <v>0</v>
      </c>
      <c r="P217">
        <f t="shared" si="3"/>
        <v>1</v>
      </c>
      <c r="Q217" s="11" t="s">
        <v>1102</v>
      </c>
    </row>
    <row r="218" spans="1:65" ht="20" customHeight="1" x14ac:dyDescent="0.3">
      <c r="A218" s="90"/>
      <c r="B218" t="s">
        <v>1103</v>
      </c>
      <c r="C218" s="4" t="s">
        <v>19</v>
      </c>
      <c r="D218" t="s">
        <v>383</v>
      </c>
      <c r="E218" t="s">
        <v>220</v>
      </c>
      <c r="F218" t="s">
        <v>1104</v>
      </c>
      <c r="G218" t="s">
        <v>1105</v>
      </c>
      <c r="H218" s="6" t="s">
        <v>1106</v>
      </c>
      <c r="I218" s="53" t="s">
        <v>25</v>
      </c>
      <c r="J218" s="46"/>
      <c r="K218" s="6" t="s">
        <v>1107</v>
      </c>
      <c r="L218" s="10" t="s">
        <v>28</v>
      </c>
      <c r="M218">
        <v>1</v>
      </c>
      <c r="N218">
        <v>0</v>
      </c>
      <c r="O218">
        <v>0</v>
      </c>
      <c r="P218">
        <f t="shared" si="3"/>
        <v>1</v>
      </c>
      <c r="Q218" s="11" t="s">
        <v>1108</v>
      </c>
    </row>
    <row r="219" spans="1:65" ht="20" customHeight="1" x14ac:dyDescent="0.3">
      <c r="A219" s="90"/>
      <c r="B219" t="s">
        <v>1109</v>
      </c>
      <c r="C219" s="4" t="s">
        <v>19</v>
      </c>
      <c r="D219" t="s">
        <v>383</v>
      </c>
      <c r="E219" t="s">
        <v>220</v>
      </c>
      <c r="F219" s="4" t="s">
        <v>401</v>
      </c>
      <c r="G219" s="4" t="s">
        <v>402</v>
      </c>
      <c r="H219" s="6" t="s">
        <v>1110</v>
      </c>
      <c r="I219" s="38" t="s">
        <v>59</v>
      </c>
      <c r="J219" s="46"/>
      <c r="K219" s="6" t="s">
        <v>1111</v>
      </c>
      <c r="L219" s="10" t="s">
        <v>28</v>
      </c>
      <c r="M219">
        <v>1</v>
      </c>
      <c r="N219">
        <v>0</v>
      </c>
      <c r="O219">
        <v>0</v>
      </c>
      <c r="P219">
        <f t="shared" si="3"/>
        <v>1</v>
      </c>
      <c r="Q219" s="11" t="s">
        <v>1112</v>
      </c>
    </row>
    <row r="220" spans="1:65" ht="20" customHeight="1" x14ac:dyDescent="0.3">
      <c r="A220" s="90"/>
      <c r="B220" t="s">
        <v>1040</v>
      </c>
      <c r="C220" s="4" t="s">
        <v>19</v>
      </c>
      <c r="D220" t="s">
        <v>1036</v>
      </c>
      <c r="E220" t="s">
        <v>21</v>
      </c>
      <c r="F220" t="s">
        <v>1041</v>
      </c>
      <c r="G220" t="s">
        <v>1042</v>
      </c>
      <c r="H220" s="11" t="s">
        <v>1043</v>
      </c>
      <c r="I220" s="53" t="s">
        <v>25</v>
      </c>
      <c r="J220" s="46"/>
      <c r="K220" s="6" t="s">
        <v>1113</v>
      </c>
      <c r="L220" s="10" t="s">
        <v>28</v>
      </c>
      <c r="M220">
        <v>1</v>
      </c>
      <c r="N220">
        <v>1</v>
      </c>
      <c r="O220">
        <v>0</v>
      </c>
      <c r="P220">
        <f t="shared" si="3"/>
        <v>2</v>
      </c>
      <c r="Q220" s="11" t="s">
        <v>1114</v>
      </c>
    </row>
    <row r="221" spans="1:65" ht="20" customHeight="1" x14ac:dyDescent="0.3">
      <c r="A221" s="90"/>
      <c r="B221" t="s">
        <v>1115</v>
      </c>
      <c r="C221" s="4" t="s">
        <v>44</v>
      </c>
      <c r="D221" t="s">
        <v>369</v>
      </c>
      <c r="E221" t="s">
        <v>113</v>
      </c>
      <c r="F221" t="s">
        <v>1116</v>
      </c>
      <c r="G221" t="s">
        <v>1117</v>
      </c>
      <c r="H221" s="6" t="s">
        <v>1118</v>
      </c>
      <c r="I221" s="38" t="s">
        <v>59</v>
      </c>
      <c r="J221" s="46"/>
      <c r="K221" s="6" t="s">
        <v>1119</v>
      </c>
      <c r="L221" s="10" t="s">
        <v>28</v>
      </c>
      <c r="M221">
        <v>1</v>
      </c>
      <c r="N221">
        <v>1</v>
      </c>
      <c r="O221">
        <v>0</v>
      </c>
      <c r="P221">
        <f t="shared" si="3"/>
        <v>2</v>
      </c>
      <c r="Q221" s="11" t="s">
        <v>1120</v>
      </c>
    </row>
    <row r="222" spans="1:65" ht="20" customHeight="1" x14ac:dyDescent="0.3">
      <c r="A222" s="90"/>
      <c r="B222" t="s">
        <v>1121</v>
      </c>
      <c r="C222" s="4" t="s">
        <v>44</v>
      </c>
      <c r="D222" t="s">
        <v>1122</v>
      </c>
      <c r="E222" t="s">
        <v>113</v>
      </c>
      <c r="F222" t="s">
        <v>1123</v>
      </c>
      <c r="G222" t="s">
        <v>1124</v>
      </c>
      <c r="H222" s="6" t="s">
        <v>1125</v>
      </c>
      <c r="I222" s="38" t="s">
        <v>59</v>
      </c>
      <c r="J222" s="46"/>
      <c r="K222" t="s">
        <v>1126</v>
      </c>
      <c r="L222" s="10" t="s">
        <v>28</v>
      </c>
      <c r="M222">
        <v>1</v>
      </c>
      <c r="N222">
        <v>0</v>
      </c>
      <c r="O222">
        <v>0</v>
      </c>
      <c r="P222">
        <f t="shared" si="3"/>
        <v>1</v>
      </c>
      <c r="Q222" s="11" t="s">
        <v>1127</v>
      </c>
    </row>
    <row r="223" spans="1:65" ht="20" customHeight="1" x14ac:dyDescent="0.3">
      <c r="A223" s="90"/>
      <c r="B223" t="s">
        <v>1128</v>
      </c>
      <c r="C223" s="4" t="s">
        <v>44</v>
      </c>
      <c r="D223" t="s">
        <v>127</v>
      </c>
      <c r="E223" s="4" t="s">
        <v>128</v>
      </c>
      <c r="F223" s="4" t="s">
        <v>129</v>
      </c>
      <c r="G223" s="4" t="s">
        <v>130</v>
      </c>
      <c r="H223" s="11" t="s">
        <v>131</v>
      </c>
      <c r="I223" s="53" t="s">
        <v>25</v>
      </c>
      <c r="J223" s="46"/>
      <c r="K223" s="6" t="s">
        <v>1129</v>
      </c>
      <c r="L223" s="25" t="s">
        <v>62</v>
      </c>
      <c r="M223">
        <v>1</v>
      </c>
      <c r="N223">
        <v>0</v>
      </c>
      <c r="O223">
        <v>0</v>
      </c>
      <c r="P223">
        <f t="shared" si="3"/>
        <v>1</v>
      </c>
      <c r="Q223" s="11" t="s">
        <v>1130</v>
      </c>
    </row>
    <row r="224" spans="1:65" ht="20" customHeight="1" x14ac:dyDescent="0.3">
      <c r="A224" s="90"/>
      <c r="B224" t="s">
        <v>368</v>
      </c>
      <c r="C224" s="4" t="s">
        <v>19</v>
      </c>
      <c r="D224" t="s">
        <v>369</v>
      </c>
      <c r="E224" t="s">
        <v>220</v>
      </c>
      <c r="F224" s="4" t="s">
        <v>370</v>
      </c>
      <c r="G224" s="4" t="s">
        <v>371</v>
      </c>
      <c r="H224" s="6" t="s">
        <v>372</v>
      </c>
      <c r="I224" s="38" t="s">
        <v>59</v>
      </c>
      <c r="J224" s="46"/>
      <c r="K224" s="4" t="s">
        <v>1131</v>
      </c>
      <c r="L224" s="38" t="s">
        <v>28</v>
      </c>
      <c r="M224">
        <v>1</v>
      </c>
      <c r="N224">
        <v>1</v>
      </c>
      <c r="O224">
        <v>1</v>
      </c>
      <c r="P224">
        <f t="shared" si="3"/>
        <v>3</v>
      </c>
      <c r="Q224" s="11" t="s">
        <v>1132</v>
      </c>
    </row>
    <row r="225" spans="1:65" ht="20" customHeight="1" x14ac:dyDescent="0.3">
      <c r="A225" s="90"/>
      <c r="B225" t="s">
        <v>841</v>
      </c>
      <c r="C225" s="4" t="s">
        <v>19</v>
      </c>
      <c r="D225" t="s">
        <v>1133</v>
      </c>
      <c r="E225" s="4" t="s">
        <v>21</v>
      </c>
      <c r="F225" s="4" t="s">
        <v>842</v>
      </c>
      <c r="G225" t="s">
        <v>843</v>
      </c>
      <c r="H225" s="6" t="s">
        <v>838</v>
      </c>
      <c r="I225" s="38" t="s">
        <v>59</v>
      </c>
      <c r="J225" s="46"/>
      <c r="K225" s="6" t="s">
        <v>1134</v>
      </c>
      <c r="L225" s="38" t="s">
        <v>28</v>
      </c>
      <c r="M225">
        <v>1</v>
      </c>
      <c r="N225">
        <v>1</v>
      </c>
      <c r="O225">
        <v>0</v>
      </c>
      <c r="P225">
        <f t="shared" si="3"/>
        <v>2</v>
      </c>
      <c r="Q225" s="11" t="s">
        <v>1135</v>
      </c>
    </row>
    <row r="226" spans="1:65" ht="20" customHeight="1" x14ac:dyDescent="0.3">
      <c r="A226" s="90"/>
      <c r="B226" t="s">
        <v>1136</v>
      </c>
      <c r="C226" s="4" t="s">
        <v>44</v>
      </c>
      <c r="D226" t="s">
        <v>1133</v>
      </c>
      <c r="E226" s="4" t="s">
        <v>220</v>
      </c>
      <c r="F226" t="s">
        <v>1137</v>
      </c>
      <c r="G226" t="s">
        <v>1138</v>
      </c>
      <c r="H226" s="6" t="s">
        <v>1139</v>
      </c>
      <c r="I226" s="38" t="s">
        <v>59</v>
      </c>
      <c r="J226" s="46"/>
      <c r="K226" s="6" t="s">
        <v>1140</v>
      </c>
      <c r="L226" s="38" t="s">
        <v>28</v>
      </c>
      <c r="M226">
        <v>1</v>
      </c>
      <c r="N226">
        <v>1</v>
      </c>
      <c r="O226">
        <v>1</v>
      </c>
      <c r="P226">
        <f t="shared" si="3"/>
        <v>3</v>
      </c>
      <c r="Q226" s="11" t="s">
        <v>1141</v>
      </c>
    </row>
    <row r="227" spans="1:65" ht="20" customHeight="1" x14ac:dyDescent="0.3">
      <c r="A227" s="90"/>
      <c r="B227" t="s">
        <v>1142</v>
      </c>
      <c r="C227" s="4" t="s">
        <v>44</v>
      </c>
      <c r="D227" t="s">
        <v>1133</v>
      </c>
      <c r="E227" s="4" t="s">
        <v>220</v>
      </c>
      <c r="F227" t="s">
        <v>1143</v>
      </c>
      <c r="G227" t="s">
        <v>1144</v>
      </c>
      <c r="H227" s="6" t="s">
        <v>1145</v>
      </c>
      <c r="I227" s="38" t="s">
        <v>59</v>
      </c>
      <c r="J227" s="46"/>
      <c r="K227" s="6" t="s">
        <v>1146</v>
      </c>
      <c r="L227" s="38" t="s">
        <v>28</v>
      </c>
      <c r="M227">
        <v>1</v>
      </c>
      <c r="N227">
        <v>1</v>
      </c>
      <c r="O227">
        <v>1</v>
      </c>
      <c r="P227">
        <f t="shared" si="3"/>
        <v>3</v>
      </c>
      <c r="Q227" s="11" t="s">
        <v>1147</v>
      </c>
    </row>
    <row r="228" spans="1:65" ht="20" customHeight="1" x14ac:dyDescent="0.3">
      <c r="A228" s="90"/>
      <c r="B228" t="s">
        <v>272</v>
      </c>
      <c r="C228" s="4" t="s">
        <v>19</v>
      </c>
      <c r="D228" t="s">
        <v>1133</v>
      </c>
      <c r="E228" t="s">
        <v>38</v>
      </c>
      <c r="F228" s="4" t="s">
        <v>273</v>
      </c>
      <c r="G228" s="4" t="s">
        <v>274</v>
      </c>
      <c r="H228" s="11" t="s">
        <v>1148</v>
      </c>
      <c r="I228" s="38" t="s">
        <v>59</v>
      </c>
      <c r="J228" s="46"/>
      <c r="K228" s="6" t="s">
        <v>1149</v>
      </c>
      <c r="L228" s="38" t="s">
        <v>28</v>
      </c>
      <c r="M228">
        <v>1</v>
      </c>
      <c r="N228">
        <v>1</v>
      </c>
      <c r="O228">
        <v>1</v>
      </c>
      <c r="P228">
        <f t="shared" si="3"/>
        <v>3</v>
      </c>
      <c r="Q228" s="11" t="s">
        <v>1150</v>
      </c>
    </row>
    <row r="229" spans="1:65" ht="20" customHeight="1" x14ac:dyDescent="0.3">
      <c r="A229" s="90"/>
      <c r="B229" t="s">
        <v>1151</v>
      </c>
      <c r="C229" s="4" t="s">
        <v>44</v>
      </c>
      <c r="D229" t="s">
        <v>1152</v>
      </c>
      <c r="E229" t="s">
        <v>1153</v>
      </c>
      <c r="F229" t="s">
        <v>1154</v>
      </c>
      <c r="G229" t="s">
        <v>1155</v>
      </c>
      <c r="H229" s="6" t="s">
        <v>1156</v>
      </c>
      <c r="I229" s="53" t="s">
        <v>25</v>
      </c>
      <c r="J229" s="46"/>
      <c r="K229" s="6" t="s">
        <v>1157</v>
      </c>
      <c r="L229" s="38" t="s">
        <v>1158</v>
      </c>
      <c r="M229">
        <v>1</v>
      </c>
      <c r="N229">
        <v>1</v>
      </c>
      <c r="O229">
        <v>1</v>
      </c>
      <c r="P229">
        <f t="shared" si="3"/>
        <v>3</v>
      </c>
      <c r="Q229" s="11" t="s">
        <v>1159</v>
      </c>
    </row>
    <row r="230" spans="1:65" ht="20" customHeight="1" x14ac:dyDescent="0.3">
      <c r="A230" s="90"/>
      <c r="B230" t="s">
        <v>1160</v>
      </c>
      <c r="C230" s="4" t="s">
        <v>44</v>
      </c>
      <c r="D230" t="s">
        <v>1161</v>
      </c>
      <c r="E230" t="s">
        <v>220</v>
      </c>
      <c r="F230" t="s">
        <v>1162</v>
      </c>
      <c r="G230" t="s">
        <v>1163</v>
      </c>
      <c r="H230" s="6" t="s">
        <v>1164</v>
      </c>
      <c r="I230" s="53" t="s">
        <v>25</v>
      </c>
      <c r="J230" s="46"/>
      <c r="K230" s="6" t="s">
        <v>1165</v>
      </c>
      <c r="L230" s="38" t="s">
        <v>49</v>
      </c>
      <c r="M230">
        <v>1</v>
      </c>
      <c r="N230">
        <v>1</v>
      </c>
      <c r="O230">
        <v>1</v>
      </c>
      <c r="P230">
        <f t="shared" si="3"/>
        <v>3</v>
      </c>
      <c r="Q230" s="11" t="s">
        <v>1166</v>
      </c>
    </row>
    <row r="231" spans="1:65" ht="20" customHeight="1" x14ac:dyDescent="0.3">
      <c r="A231" s="90"/>
      <c r="B231" t="s">
        <v>1167</v>
      </c>
      <c r="C231" s="4" t="s">
        <v>44</v>
      </c>
      <c r="D231" t="s">
        <v>1161</v>
      </c>
      <c r="E231" t="s">
        <v>1168</v>
      </c>
      <c r="F231" t="s">
        <v>1169</v>
      </c>
      <c r="G231" t="s">
        <v>1170</v>
      </c>
      <c r="H231" s="6" t="s">
        <v>1171</v>
      </c>
      <c r="I231" s="53" t="s">
        <v>25</v>
      </c>
      <c r="J231" s="46"/>
      <c r="K231" s="6" t="s">
        <v>1172</v>
      </c>
      <c r="L231" s="38" t="s">
        <v>49</v>
      </c>
      <c r="M231">
        <v>1</v>
      </c>
      <c r="N231">
        <v>1</v>
      </c>
      <c r="O231">
        <v>1</v>
      </c>
      <c r="P231">
        <f t="shared" si="3"/>
        <v>3</v>
      </c>
      <c r="Q231" s="11" t="s">
        <v>1173</v>
      </c>
    </row>
    <row r="232" spans="1:65" ht="20" customHeight="1" x14ac:dyDescent="0.3">
      <c r="A232" s="90"/>
      <c r="B232" t="s">
        <v>1174</v>
      </c>
      <c r="C232" s="4" t="s">
        <v>44</v>
      </c>
      <c r="D232" t="s">
        <v>1161</v>
      </c>
      <c r="E232" t="s">
        <v>1168</v>
      </c>
      <c r="F232" t="s">
        <v>1175</v>
      </c>
      <c r="G232" t="s">
        <v>1176</v>
      </c>
      <c r="H232" s="6" t="s">
        <v>1177</v>
      </c>
      <c r="I232" s="53" t="s">
        <v>25</v>
      </c>
      <c r="J232" s="46"/>
      <c r="K232" s="6" t="s">
        <v>1178</v>
      </c>
      <c r="L232" s="38" t="s">
        <v>49</v>
      </c>
      <c r="M232">
        <v>1</v>
      </c>
      <c r="N232">
        <v>1</v>
      </c>
      <c r="O232">
        <v>1</v>
      </c>
      <c r="P232">
        <f t="shared" si="3"/>
        <v>3</v>
      </c>
      <c r="Q232" s="11" t="s">
        <v>1179</v>
      </c>
    </row>
    <row r="233" spans="1:65" ht="20" customHeight="1" x14ac:dyDescent="0.3">
      <c r="A233" s="90"/>
      <c r="B233" t="s">
        <v>1180</v>
      </c>
      <c r="C233" s="4" t="s">
        <v>44</v>
      </c>
      <c r="D233" t="s">
        <v>1161</v>
      </c>
      <c r="E233" t="s">
        <v>1168</v>
      </c>
      <c r="F233" t="s">
        <v>1181</v>
      </c>
      <c r="G233" t="s">
        <v>1182</v>
      </c>
      <c r="H233" s="6" t="s">
        <v>1183</v>
      </c>
      <c r="I233" s="53" t="s">
        <v>25</v>
      </c>
      <c r="J233" s="46"/>
      <c r="K233" s="6" t="s">
        <v>1184</v>
      </c>
      <c r="L233" s="38" t="s">
        <v>49</v>
      </c>
      <c r="M233">
        <v>1</v>
      </c>
      <c r="N233">
        <v>1</v>
      </c>
      <c r="O233">
        <v>1</v>
      </c>
      <c r="P233">
        <f t="shared" si="3"/>
        <v>3</v>
      </c>
      <c r="Q233" s="11" t="s">
        <v>1185</v>
      </c>
    </row>
    <row r="234" spans="1:65" ht="20" customHeight="1" x14ac:dyDescent="0.3">
      <c r="A234" s="90"/>
      <c r="B234" t="s">
        <v>1186</v>
      </c>
      <c r="C234" s="4" t="s">
        <v>44</v>
      </c>
      <c r="D234" t="s">
        <v>1161</v>
      </c>
      <c r="E234" t="s">
        <v>179</v>
      </c>
      <c r="F234" t="s">
        <v>1187</v>
      </c>
      <c r="G234" t="s">
        <v>1188</v>
      </c>
      <c r="H234" s="6" t="s">
        <v>1189</v>
      </c>
      <c r="I234" s="53" t="s">
        <v>25</v>
      </c>
      <c r="J234" s="46"/>
      <c r="K234" s="6" t="s">
        <v>1190</v>
      </c>
      <c r="L234" s="38" t="s">
        <v>49</v>
      </c>
      <c r="M234">
        <v>1</v>
      </c>
      <c r="N234">
        <v>1</v>
      </c>
      <c r="O234">
        <v>1</v>
      </c>
      <c r="P234">
        <f t="shared" si="3"/>
        <v>3</v>
      </c>
      <c r="Q234" s="11" t="s">
        <v>1191</v>
      </c>
    </row>
    <row r="235" spans="1:65" ht="20" customHeight="1" x14ac:dyDescent="0.3">
      <c r="A235" s="90"/>
      <c r="B235" t="s">
        <v>394</v>
      </c>
      <c r="C235" s="4" t="s">
        <v>44</v>
      </c>
      <c r="D235" t="s">
        <v>383</v>
      </c>
      <c r="E235" t="s">
        <v>220</v>
      </c>
      <c r="F235" s="4" t="s">
        <v>395</v>
      </c>
      <c r="G235" s="4" t="s">
        <v>396</v>
      </c>
      <c r="H235" s="6" t="s">
        <v>397</v>
      </c>
      <c r="I235" s="53" t="s">
        <v>25</v>
      </c>
      <c r="J235" s="46"/>
      <c r="K235" s="6" t="s">
        <v>1192</v>
      </c>
      <c r="L235" s="38" t="s">
        <v>49</v>
      </c>
      <c r="M235">
        <v>1</v>
      </c>
      <c r="N235">
        <v>0</v>
      </c>
      <c r="O235">
        <v>0</v>
      </c>
      <c r="P235">
        <f t="shared" si="3"/>
        <v>1</v>
      </c>
      <c r="Q235" s="11" t="s">
        <v>1193</v>
      </c>
    </row>
    <row r="236" spans="1:65" ht="20" customHeight="1" x14ac:dyDescent="0.3">
      <c r="A236" s="90"/>
      <c r="B236" t="s">
        <v>375</v>
      </c>
      <c r="C236" s="4" t="s">
        <v>44</v>
      </c>
      <c r="D236" t="s">
        <v>1194</v>
      </c>
      <c r="E236" t="s">
        <v>220</v>
      </c>
      <c r="F236" s="4" t="s">
        <v>377</v>
      </c>
      <c r="G236" s="4" t="s">
        <v>378</v>
      </c>
      <c r="H236" s="6" t="s">
        <v>379</v>
      </c>
      <c r="I236" s="53" t="s">
        <v>25</v>
      </c>
      <c r="J236" s="46"/>
      <c r="K236" s="6" t="s">
        <v>1195</v>
      </c>
      <c r="L236" s="38" t="s">
        <v>28</v>
      </c>
      <c r="M236">
        <v>1</v>
      </c>
      <c r="N236">
        <v>0</v>
      </c>
      <c r="O236">
        <v>0</v>
      </c>
      <c r="P236">
        <f t="shared" si="3"/>
        <v>1</v>
      </c>
      <c r="Q236" s="11" t="s">
        <v>1196</v>
      </c>
    </row>
    <row r="237" spans="1:65" s="15" customFormat="1" ht="20" customHeight="1" x14ac:dyDescent="0.3">
      <c r="A237" s="90"/>
      <c r="B237" t="s">
        <v>1197</v>
      </c>
      <c r="C237" s="4" t="s">
        <v>44</v>
      </c>
      <c r="D237" t="s">
        <v>383</v>
      </c>
      <c r="E237" t="s">
        <v>220</v>
      </c>
      <c r="F237" s="4" t="s">
        <v>1198</v>
      </c>
      <c r="G237" t="s">
        <v>1199</v>
      </c>
      <c r="H237" s="6" t="s">
        <v>1200</v>
      </c>
      <c r="I237" s="53" t="s">
        <v>25</v>
      </c>
      <c r="J237" s="46"/>
      <c r="K237" s="6" t="s">
        <v>1201</v>
      </c>
      <c r="L237" s="38" t="s">
        <v>28</v>
      </c>
      <c r="M237">
        <v>1</v>
      </c>
      <c r="N237">
        <v>0</v>
      </c>
      <c r="O237">
        <v>0</v>
      </c>
      <c r="P237">
        <f t="shared" si="3"/>
        <v>1</v>
      </c>
      <c r="Q237" s="11" t="s">
        <v>1202</v>
      </c>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row>
    <row r="238" spans="1:65" ht="20" customHeight="1" x14ac:dyDescent="0.3">
      <c r="A238" s="90"/>
      <c r="B238" t="s">
        <v>1203</v>
      </c>
      <c r="C238" s="4" t="s">
        <v>44</v>
      </c>
      <c r="D238" t="s">
        <v>383</v>
      </c>
      <c r="E238" t="s">
        <v>220</v>
      </c>
      <c r="F238" t="s">
        <v>1204</v>
      </c>
      <c r="G238" t="s">
        <v>1205</v>
      </c>
      <c r="H238" s="6" t="s">
        <v>1200</v>
      </c>
      <c r="I238" s="53" t="s">
        <v>25</v>
      </c>
      <c r="J238" s="46"/>
      <c r="K238" t="s">
        <v>1206</v>
      </c>
      <c r="L238" s="38" t="s">
        <v>28</v>
      </c>
      <c r="M238">
        <v>1</v>
      </c>
      <c r="N238">
        <v>0</v>
      </c>
      <c r="O238">
        <v>0</v>
      </c>
      <c r="P238">
        <f t="shared" si="3"/>
        <v>1</v>
      </c>
      <c r="Q238" s="11" t="s">
        <v>1207</v>
      </c>
    </row>
    <row r="239" spans="1:65" ht="20" customHeight="1" x14ac:dyDescent="0.3">
      <c r="A239" s="90"/>
      <c r="B239" t="s">
        <v>1208</v>
      </c>
      <c r="C239" s="4" t="s">
        <v>44</v>
      </c>
      <c r="D239" t="s">
        <v>383</v>
      </c>
      <c r="E239" t="s">
        <v>220</v>
      </c>
      <c r="F239" t="s">
        <v>1209</v>
      </c>
      <c r="G239" t="s">
        <v>1210</v>
      </c>
      <c r="H239" s="6" t="s">
        <v>1200</v>
      </c>
      <c r="I239" s="53" t="s">
        <v>25</v>
      </c>
      <c r="J239" s="46"/>
      <c r="K239" t="s">
        <v>1211</v>
      </c>
      <c r="L239" s="38" t="s">
        <v>28</v>
      </c>
      <c r="M239">
        <v>1</v>
      </c>
      <c r="N239">
        <v>0</v>
      </c>
      <c r="O239">
        <v>0</v>
      </c>
      <c r="P239">
        <f t="shared" si="3"/>
        <v>1</v>
      </c>
      <c r="Q239" s="11" t="s">
        <v>1212</v>
      </c>
    </row>
    <row r="240" spans="1:65" ht="20" customHeight="1" x14ac:dyDescent="0.3">
      <c r="A240" s="90"/>
      <c r="B240" t="s">
        <v>1213</v>
      </c>
      <c r="C240" s="4" t="s">
        <v>44</v>
      </c>
      <c r="D240" t="s">
        <v>383</v>
      </c>
      <c r="E240" t="s">
        <v>220</v>
      </c>
      <c r="F240" t="s">
        <v>1214</v>
      </c>
      <c r="G240" t="s">
        <v>1215</v>
      </c>
      <c r="H240" s="6" t="s">
        <v>1200</v>
      </c>
      <c r="I240" s="53" t="s">
        <v>25</v>
      </c>
      <c r="J240" s="46"/>
      <c r="K240" t="s">
        <v>1216</v>
      </c>
      <c r="L240" s="38" t="s">
        <v>28</v>
      </c>
      <c r="M240">
        <v>1</v>
      </c>
      <c r="N240">
        <v>0</v>
      </c>
      <c r="O240">
        <v>0</v>
      </c>
      <c r="P240">
        <f t="shared" si="3"/>
        <v>1</v>
      </c>
      <c r="Q240" s="11" t="s">
        <v>1217</v>
      </c>
    </row>
    <row r="241" spans="1:65" ht="20" customHeight="1" x14ac:dyDescent="0.3">
      <c r="A241" s="90"/>
      <c r="B241" t="s">
        <v>1218</v>
      </c>
      <c r="C241" s="4" t="s">
        <v>44</v>
      </c>
      <c r="D241" t="s">
        <v>383</v>
      </c>
      <c r="E241" t="s">
        <v>220</v>
      </c>
      <c r="F241" t="s">
        <v>1219</v>
      </c>
      <c r="G241" t="s">
        <v>1220</v>
      </c>
      <c r="H241" s="6" t="s">
        <v>1200</v>
      </c>
      <c r="I241" s="53" t="s">
        <v>25</v>
      </c>
      <c r="J241" s="46"/>
      <c r="K241" t="s">
        <v>1221</v>
      </c>
      <c r="L241" s="38" t="s">
        <v>28</v>
      </c>
      <c r="M241">
        <v>1</v>
      </c>
      <c r="N241">
        <v>0</v>
      </c>
      <c r="O241">
        <v>0</v>
      </c>
      <c r="P241">
        <f t="shared" si="3"/>
        <v>1</v>
      </c>
      <c r="Q241" s="11" t="s">
        <v>1222</v>
      </c>
    </row>
    <row r="242" spans="1:65" ht="20" customHeight="1" x14ac:dyDescent="0.3">
      <c r="A242" s="90"/>
      <c r="B242" t="s">
        <v>1223</v>
      </c>
      <c r="C242" s="4" t="s">
        <v>44</v>
      </c>
      <c r="D242" t="s">
        <v>383</v>
      </c>
      <c r="E242" t="s">
        <v>220</v>
      </c>
      <c r="F242" t="s">
        <v>1224</v>
      </c>
      <c r="G242" t="s">
        <v>1225</v>
      </c>
      <c r="H242" s="6" t="s">
        <v>1200</v>
      </c>
      <c r="I242" s="53" t="s">
        <v>25</v>
      </c>
      <c r="J242" s="46"/>
      <c r="K242" s="6" t="s">
        <v>1226</v>
      </c>
      <c r="L242" s="38" t="s">
        <v>28</v>
      </c>
      <c r="M242">
        <v>1</v>
      </c>
      <c r="N242">
        <v>0</v>
      </c>
      <c r="O242">
        <v>0</v>
      </c>
      <c r="P242">
        <f t="shared" si="3"/>
        <v>1</v>
      </c>
      <c r="Q242" s="11" t="s">
        <v>1227</v>
      </c>
    </row>
    <row r="243" spans="1:65" ht="20" customHeight="1" x14ac:dyDescent="0.3">
      <c r="A243" s="90"/>
      <c r="B243" t="s">
        <v>1228</v>
      </c>
      <c r="C243" s="4" t="s">
        <v>44</v>
      </c>
      <c r="D243" t="s">
        <v>383</v>
      </c>
      <c r="E243" t="s">
        <v>179</v>
      </c>
      <c r="F243" t="s">
        <v>1229</v>
      </c>
      <c r="G243" t="s">
        <v>1230</v>
      </c>
      <c r="H243" s="6" t="s">
        <v>1200</v>
      </c>
      <c r="I243" s="53" t="s">
        <v>25</v>
      </c>
      <c r="J243" s="46"/>
      <c r="K243" t="s">
        <v>1231</v>
      </c>
      <c r="L243" s="25" t="s">
        <v>62</v>
      </c>
      <c r="M243">
        <v>1</v>
      </c>
      <c r="N243">
        <v>0</v>
      </c>
      <c r="O243">
        <v>0</v>
      </c>
      <c r="P243">
        <f t="shared" si="3"/>
        <v>1</v>
      </c>
      <c r="Q243" s="11" t="s">
        <v>1232</v>
      </c>
    </row>
    <row r="244" spans="1:65" ht="20" customHeight="1" x14ac:dyDescent="0.3">
      <c r="A244" s="90"/>
      <c r="B244" t="s">
        <v>1233</v>
      </c>
      <c r="C244" s="4" t="s">
        <v>44</v>
      </c>
      <c r="D244" t="s">
        <v>383</v>
      </c>
      <c r="E244" t="s">
        <v>220</v>
      </c>
      <c r="F244" t="s">
        <v>1234</v>
      </c>
      <c r="G244" t="s">
        <v>1235</v>
      </c>
      <c r="H244" s="6" t="s">
        <v>1200</v>
      </c>
      <c r="I244" s="53" t="s">
        <v>25</v>
      </c>
      <c r="J244" s="46"/>
      <c r="K244" t="s">
        <v>1236</v>
      </c>
      <c r="L244" s="38" t="s">
        <v>28</v>
      </c>
      <c r="M244">
        <v>1</v>
      </c>
      <c r="N244">
        <v>0</v>
      </c>
      <c r="O244">
        <v>0</v>
      </c>
      <c r="P244">
        <f t="shared" si="3"/>
        <v>1</v>
      </c>
      <c r="Q244" s="11" t="s">
        <v>1237</v>
      </c>
    </row>
    <row r="245" spans="1:65" s="15" customFormat="1" ht="20" customHeight="1" x14ac:dyDescent="0.3">
      <c r="A245" s="91"/>
      <c r="B245" s="15" t="s">
        <v>1238</v>
      </c>
      <c r="C245" s="14" t="s">
        <v>44</v>
      </c>
      <c r="D245" s="15" t="s">
        <v>383</v>
      </c>
      <c r="E245" s="15" t="s">
        <v>220</v>
      </c>
      <c r="F245" s="15" t="s">
        <v>1239</v>
      </c>
      <c r="G245" s="15" t="s">
        <v>1240</v>
      </c>
      <c r="H245" s="16" t="s">
        <v>1200</v>
      </c>
      <c r="I245" s="42" t="s">
        <v>25</v>
      </c>
      <c r="J245" s="48"/>
      <c r="K245" s="15" t="s">
        <v>1241</v>
      </c>
      <c r="L245" s="72" t="s">
        <v>28</v>
      </c>
      <c r="M245" s="14">
        <v>1</v>
      </c>
      <c r="N245" s="15">
        <v>0</v>
      </c>
      <c r="O245" s="15">
        <v>0</v>
      </c>
      <c r="P245">
        <f t="shared" si="3"/>
        <v>1</v>
      </c>
      <c r="Q245" s="21" t="s">
        <v>1242</v>
      </c>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row>
    <row r="246" spans="1:65" s="43" customFormat="1" ht="20" customHeight="1" x14ac:dyDescent="0.3">
      <c r="A246" s="92" t="s">
        <v>1243</v>
      </c>
      <c r="B246" s="93" t="s">
        <v>1244</v>
      </c>
      <c r="C246" s="56"/>
      <c r="H246" s="94"/>
      <c r="I246" s="56"/>
      <c r="K246" s="94"/>
      <c r="M246" s="43">
        <v>0</v>
      </c>
      <c r="N246" s="43">
        <v>0</v>
      </c>
      <c r="O246" s="43">
        <v>0</v>
      </c>
      <c r="P246">
        <f t="shared" si="3"/>
        <v>0</v>
      </c>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row>
    <row r="247" spans="1:65" s="43" customFormat="1" ht="20" customHeight="1" x14ac:dyDescent="0.3">
      <c r="A247" s="95" t="s">
        <v>1245</v>
      </c>
      <c r="B247" s="93" t="s">
        <v>1246</v>
      </c>
      <c r="C247" s="56"/>
      <c r="H247" s="94"/>
      <c r="I247" s="56"/>
      <c r="K247" s="94"/>
      <c r="M247" s="43">
        <v>0</v>
      </c>
      <c r="N247" s="43">
        <v>0</v>
      </c>
      <c r="O247" s="43">
        <v>0</v>
      </c>
      <c r="P247">
        <f t="shared" si="3"/>
        <v>0</v>
      </c>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row>
    <row r="248" spans="1:65" s="43" customFormat="1" ht="20" customHeight="1" x14ac:dyDescent="0.3">
      <c r="A248" s="92" t="s">
        <v>1247</v>
      </c>
      <c r="B248" s="96" t="s">
        <v>1248</v>
      </c>
      <c r="C248" s="56"/>
      <c r="H248" s="94"/>
      <c r="I248" s="56"/>
      <c r="K248" s="94"/>
      <c r="M248" s="43">
        <v>0</v>
      </c>
      <c r="N248" s="43">
        <v>0</v>
      </c>
      <c r="O248" s="43">
        <v>0</v>
      </c>
      <c r="P248">
        <f t="shared" si="3"/>
        <v>0</v>
      </c>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row>
    <row r="249" spans="1:65" s="43" customFormat="1" ht="20" customHeight="1" x14ac:dyDescent="0.3">
      <c r="A249" s="95" t="s">
        <v>1249</v>
      </c>
      <c r="B249" s="93" t="s">
        <v>1250</v>
      </c>
      <c r="C249" s="56"/>
      <c r="H249" s="94"/>
      <c r="I249" s="56"/>
      <c r="K249" s="94"/>
      <c r="M249" s="43">
        <v>0</v>
      </c>
      <c r="N249" s="43">
        <v>0</v>
      </c>
      <c r="O249" s="43">
        <v>0</v>
      </c>
      <c r="P249">
        <f t="shared" si="3"/>
        <v>0</v>
      </c>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row>
    <row r="250" spans="1:65" s="43" customFormat="1" ht="20" customHeight="1" x14ac:dyDescent="0.3">
      <c r="A250" s="92" t="s">
        <v>1251</v>
      </c>
      <c r="B250" s="93" t="s">
        <v>1252</v>
      </c>
      <c r="C250" s="56"/>
      <c r="H250" s="94"/>
      <c r="I250" s="56"/>
      <c r="K250" s="94"/>
      <c r="M250" s="43">
        <v>0</v>
      </c>
      <c r="N250" s="43">
        <v>0</v>
      </c>
      <c r="O250" s="43">
        <v>0</v>
      </c>
      <c r="P250" s="15">
        <f t="shared" si="3"/>
        <v>0</v>
      </c>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row>
    <row r="251" spans="1:65" ht="20" customHeight="1" x14ac:dyDescent="0.3">
      <c r="A251" s="37" t="s">
        <v>1253</v>
      </c>
      <c r="B251" t="s">
        <v>1254</v>
      </c>
      <c r="C251" s="4" t="s">
        <v>19</v>
      </c>
      <c r="D251" t="s">
        <v>1255</v>
      </c>
      <c r="E251" t="s">
        <v>847</v>
      </c>
      <c r="F251" t="s">
        <v>1256</v>
      </c>
      <c r="G251" t="s">
        <v>1257</v>
      </c>
      <c r="H251" s="6" t="s">
        <v>309</v>
      </c>
      <c r="I251" s="53" t="s">
        <v>25</v>
      </c>
      <c r="J251" s="45" t="s">
        <v>1258</v>
      </c>
      <c r="K251" s="6" t="s">
        <v>1259</v>
      </c>
      <c r="L251" s="10" t="s">
        <v>28</v>
      </c>
      <c r="M251">
        <v>1</v>
      </c>
      <c r="N251">
        <v>0</v>
      </c>
      <c r="O251">
        <v>0</v>
      </c>
      <c r="P251">
        <f t="shared" si="3"/>
        <v>1</v>
      </c>
      <c r="Q251" s="11" t="s">
        <v>1260</v>
      </c>
    </row>
    <row r="252" spans="1:65" ht="20" customHeight="1" x14ac:dyDescent="0.3">
      <c r="A252" s="37"/>
      <c r="B252" t="s">
        <v>1261</v>
      </c>
      <c r="C252" s="4" t="s">
        <v>19</v>
      </c>
      <c r="D252" t="s">
        <v>1255</v>
      </c>
      <c r="E252" t="s">
        <v>1262</v>
      </c>
      <c r="F252" t="s">
        <v>1263</v>
      </c>
      <c r="G252" t="s">
        <v>1264</v>
      </c>
      <c r="H252" s="6" t="s">
        <v>309</v>
      </c>
      <c r="I252" s="53" t="s">
        <v>25</v>
      </c>
      <c r="J252" s="46"/>
      <c r="K252" s="6" t="s">
        <v>1265</v>
      </c>
      <c r="L252" s="10" t="s">
        <v>28</v>
      </c>
      <c r="M252">
        <v>1</v>
      </c>
      <c r="N252">
        <v>0</v>
      </c>
      <c r="O252">
        <v>0</v>
      </c>
      <c r="P252">
        <f t="shared" ref="P252:P286" si="4">M252+N252+O252</f>
        <v>1</v>
      </c>
      <c r="Q252" s="11" t="s">
        <v>1266</v>
      </c>
    </row>
    <row r="253" spans="1:65" ht="20" customHeight="1" x14ac:dyDescent="0.3">
      <c r="A253" s="37"/>
      <c r="B253" t="s">
        <v>1267</v>
      </c>
      <c r="C253" s="4" t="s">
        <v>19</v>
      </c>
      <c r="D253" t="s">
        <v>1268</v>
      </c>
      <c r="E253" t="s">
        <v>1269</v>
      </c>
      <c r="F253" t="s">
        <v>1270</v>
      </c>
      <c r="G253" t="s">
        <v>1271</v>
      </c>
      <c r="H253" s="6" t="s">
        <v>309</v>
      </c>
      <c r="I253" s="53" t="s">
        <v>25</v>
      </c>
      <c r="J253" s="46"/>
      <c r="K253" s="6" t="s">
        <v>1272</v>
      </c>
      <c r="L253" s="10" t="s">
        <v>28</v>
      </c>
      <c r="M253">
        <v>0</v>
      </c>
      <c r="N253">
        <v>0</v>
      </c>
      <c r="O253">
        <v>0</v>
      </c>
      <c r="P253">
        <f t="shared" si="4"/>
        <v>0</v>
      </c>
      <c r="Q253" s="11" t="s">
        <v>1273</v>
      </c>
    </row>
    <row r="254" spans="1:65" ht="20" customHeight="1" x14ac:dyDescent="0.3">
      <c r="A254" s="37"/>
      <c r="B254" t="s">
        <v>1274</v>
      </c>
      <c r="C254" s="4" t="s">
        <v>19</v>
      </c>
      <c r="D254" t="s">
        <v>1268</v>
      </c>
      <c r="E254" t="s">
        <v>1269</v>
      </c>
      <c r="F254" t="s">
        <v>1275</v>
      </c>
      <c r="G254" t="s">
        <v>1276</v>
      </c>
      <c r="H254" s="6" t="s">
        <v>309</v>
      </c>
      <c r="I254" s="53" t="s">
        <v>25</v>
      </c>
      <c r="J254" s="46"/>
      <c r="K254" s="6" t="s">
        <v>1277</v>
      </c>
      <c r="L254" s="10" t="s">
        <v>28</v>
      </c>
      <c r="M254">
        <v>0</v>
      </c>
      <c r="N254">
        <v>0</v>
      </c>
      <c r="O254">
        <v>0</v>
      </c>
      <c r="P254">
        <f t="shared" si="4"/>
        <v>0</v>
      </c>
      <c r="Q254" s="11" t="s">
        <v>1278</v>
      </c>
    </row>
    <row r="255" spans="1:65" ht="20" customHeight="1" x14ac:dyDescent="0.3">
      <c r="A255" s="37"/>
      <c r="B255" t="s">
        <v>1279</v>
      </c>
      <c r="C255" s="4" t="s">
        <v>19</v>
      </c>
      <c r="D255" t="s">
        <v>1280</v>
      </c>
      <c r="E255" t="s">
        <v>220</v>
      </c>
      <c r="F255" t="s">
        <v>1281</v>
      </c>
      <c r="G255" t="s">
        <v>1282</v>
      </c>
      <c r="H255" s="6" t="s">
        <v>309</v>
      </c>
      <c r="I255" s="53" t="s">
        <v>25</v>
      </c>
      <c r="J255" s="46"/>
      <c r="K255" s="6" t="s">
        <v>1283</v>
      </c>
      <c r="L255" s="10" t="s">
        <v>28</v>
      </c>
      <c r="M255">
        <v>0</v>
      </c>
      <c r="N255">
        <v>0</v>
      </c>
      <c r="O255">
        <v>0</v>
      </c>
      <c r="P255">
        <f t="shared" si="4"/>
        <v>0</v>
      </c>
      <c r="Q255" s="11" t="s">
        <v>1284</v>
      </c>
    </row>
    <row r="256" spans="1:65" ht="20" customHeight="1" x14ac:dyDescent="0.3">
      <c r="A256" s="37"/>
      <c r="B256" t="s">
        <v>1285</v>
      </c>
      <c r="C256" s="4" t="s">
        <v>19</v>
      </c>
      <c r="D256" t="s">
        <v>1280</v>
      </c>
      <c r="E256" t="s">
        <v>220</v>
      </c>
      <c r="F256" t="s">
        <v>1286</v>
      </c>
      <c r="G256" t="s">
        <v>1287</v>
      </c>
      <c r="H256" s="6" t="s">
        <v>309</v>
      </c>
      <c r="I256" s="53" t="s">
        <v>25</v>
      </c>
      <c r="J256" s="46"/>
      <c r="K256" s="6" t="s">
        <v>1288</v>
      </c>
      <c r="L256" s="10" t="s">
        <v>28</v>
      </c>
      <c r="M256">
        <v>0</v>
      </c>
      <c r="N256">
        <v>0</v>
      </c>
      <c r="O256">
        <v>0</v>
      </c>
      <c r="P256">
        <f t="shared" si="4"/>
        <v>0</v>
      </c>
      <c r="Q256" s="11" t="s">
        <v>1289</v>
      </c>
    </row>
    <row r="257" spans="1:65" s="15" customFormat="1" ht="20" customHeight="1" x14ac:dyDescent="0.3">
      <c r="A257" s="39"/>
      <c r="B257" s="15" t="s">
        <v>1290</v>
      </c>
      <c r="C257" s="14" t="s">
        <v>44</v>
      </c>
      <c r="D257" s="15" t="s">
        <v>1280</v>
      </c>
      <c r="E257" s="15" t="s">
        <v>21</v>
      </c>
      <c r="F257" s="15" t="s">
        <v>1291</v>
      </c>
      <c r="G257" s="15" t="s">
        <v>1292</v>
      </c>
      <c r="H257" s="16" t="s">
        <v>309</v>
      </c>
      <c r="I257" s="42" t="s">
        <v>25</v>
      </c>
      <c r="J257" s="48"/>
      <c r="K257" s="16" t="s">
        <v>1293</v>
      </c>
      <c r="L257" s="20" t="s">
        <v>28</v>
      </c>
      <c r="M257" s="15">
        <v>0</v>
      </c>
      <c r="N257" s="15">
        <v>0</v>
      </c>
      <c r="O257" s="15">
        <v>0</v>
      </c>
      <c r="P257">
        <f t="shared" si="4"/>
        <v>0</v>
      </c>
      <c r="Q257" s="15" t="s">
        <v>1294</v>
      </c>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row>
    <row r="258" spans="1:65" ht="20" customHeight="1" x14ac:dyDescent="0.3">
      <c r="A258" s="73" t="s">
        <v>1295</v>
      </c>
      <c r="B258" t="s">
        <v>368</v>
      </c>
      <c r="C258" s="4" t="s">
        <v>44</v>
      </c>
      <c r="D258" t="s">
        <v>369</v>
      </c>
      <c r="E258" t="s">
        <v>220</v>
      </c>
      <c r="F258" s="4" t="s">
        <v>370</v>
      </c>
      <c r="G258" s="4" t="s">
        <v>371</v>
      </c>
      <c r="H258" s="6" t="s">
        <v>372</v>
      </c>
      <c r="I258" s="53" t="s">
        <v>25</v>
      </c>
      <c r="J258" s="45" t="s">
        <v>1296</v>
      </c>
      <c r="K258" s="6" t="s">
        <v>1297</v>
      </c>
      <c r="L258" s="10" t="s">
        <v>28</v>
      </c>
      <c r="M258">
        <v>0</v>
      </c>
      <c r="N258">
        <v>0</v>
      </c>
      <c r="O258">
        <v>0</v>
      </c>
      <c r="P258">
        <f t="shared" si="4"/>
        <v>0</v>
      </c>
      <c r="Q258" s="11" t="s">
        <v>1298</v>
      </c>
    </row>
    <row r="259" spans="1:65" ht="20" customHeight="1" x14ac:dyDescent="0.3">
      <c r="A259" s="73"/>
      <c r="B259" t="s">
        <v>375</v>
      </c>
      <c r="C259" s="4" t="s">
        <v>44</v>
      </c>
      <c r="D259" t="s">
        <v>376</v>
      </c>
      <c r="E259" t="s">
        <v>220</v>
      </c>
      <c r="F259" s="4" t="s">
        <v>377</v>
      </c>
      <c r="G259" s="4" t="s">
        <v>378</v>
      </c>
      <c r="H259" s="6" t="s">
        <v>379</v>
      </c>
      <c r="I259" s="53" t="s">
        <v>25</v>
      </c>
      <c r="J259" s="46"/>
      <c r="K259" s="6" t="s">
        <v>1299</v>
      </c>
      <c r="L259" s="10" t="s">
        <v>28</v>
      </c>
      <c r="M259">
        <v>0</v>
      </c>
      <c r="N259">
        <v>0</v>
      </c>
      <c r="O259">
        <v>0</v>
      </c>
      <c r="P259">
        <f t="shared" si="4"/>
        <v>0</v>
      </c>
      <c r="Q259" s="11" t="s">
        <v>1300</v>
      </c>
    </row>
    <row r="260" spans="1:65" ht="20" customHeight="1" x14ac:dyDescent="0.3">
      <c r="A260" s="73"/>
      <c r="B260" t="s">
        <v>841</v>
      </c>
      <c r="C260" s="4" t="s">
        <v>44</v>
      </c>
      <c r="D260" t="s">
        <v>828</v>
      </c>
      <c r="E260" s="4" t="s">
        <v>21</v>
      </c>
      <c r="F260" s="4" t="s">
        <v>842</v>
      </c>
      <c r="G260" t="s">
        <v>843</v>
      </c>
      <c r="H260" s="6" t="s">
        <v>838</v>
      </c>
      <c r="I260" s="53" t="s">
        <v>25</v>
      </c>
      <c r="J260" s="46"/>
      <c r="K260" s="6" t="s">
        <v>1301</v>
      </c>
      <c r="L260" s="10" t="s">
        <v>28</v>
      </c>
      <c r="M260">
        <v>0</v>
      </c>
      <c r="N260">
        <v>0</v>
      </c>
      <c r="O260">
        <v>0</v>
      </c>
      <c r="P260">
        <f t="shared" si="4"/>
        <v>0</v>
      </c>
      <c r="Q260" s="11" t="s">
        <v>1302</v>
      </c>
    </row>
    <row r="261" spans="1:65" ht="20" customHeight="1" x14ac:dyDescent="0.3">
      <c r="A261" s="73"/>
      <c r="B261" t="s">
        <v>389</v>
      </c>
      <c r="C261" s="4" t="s">
        <v>44</v>
      </c>
      <c r="D261" t="s">
        <v>383</v>
      </c>
      <c r="E261" t="s">
        <v>220</v>
      </c>
      <c r="F261" s="4" t="s">
        <v>390</v>
      </c>
      <c r="G261" s="4" t="s">
        <v>391</v>
      </c>
      <c r="H261" s="6" t="s">
        <v>386</v>
      </c>
      <c r="I261" s="53" t="s">
        <v>25</v>
      </c>
      <c r="J261" s="46"/>
      <c r="K261" s="6" t="s">
        <v>1303</v>
      </c>
      <c r="L261" s="10" t="s">
        <v>28</v>
      </c>
      <c r="M261">
        <v>0</v>
      </c>
      <c r="N261">
        <v>0</v>
      </c>
      <c r="O261">
        <v>0</v>
      </c>
      <c r="P261">
        <f t="shared" si="4"/>
        <v>0</v>
      </c>
      <c r="Q261" s="11" t="s">
        <v>1304</v>
      </c>
    </row>
    <row r="262" spans="1:65" ht="20" customHeight="1" x14ac:dyDescent="0.3">
      <c r="A262" s="73"/>
      <c r="B262" t="s">
        <v>149</v>
      </c>
      <c r="C262" s="4" t="s">
        <v>44</v>
      </c>
      <c r="D262" t="s">
        <v>1305</v>
      </c>
      <c r="E262" s="4" t="s">
        <v>21</v>
      </c>
      <c r="F262" s="4" t="s">
        <v>150</v>
      </c>
      <c r="G262" s="4" t="s">
        <v>151</v>
      </c>
      <c r="H262" s="11" t="s">
        <v>146</v>
      </c>
      <c r="I262" s="53" t="s">
        <v>25</v>
      </c>
      <c r="J262" s="46"/>
      <c r="K262" s="6" t="s">
        <v>1306</v>
      </c>
      <c r="L262" s="10" t="s">
        <v>28</v>
      </c>
      <c r="M262">
        <v>0</v>
      </c>
      <c r="N262">
        <v>0</v>
      </c>
      <c r="O262">
        <v>0</v>
      </c>
      <c r="P262">
        <f t="shared" si="4"/>
        <v>0</v>
      </c>
      <c r="Q262" s="11" t="s">
        <v>1307</v>
      </c>
    </row>
    <row r="263" spans="1:65" ht="20" customHeight="1" x14ac:dyDescent="0.3">
      <c r="A263" s="73"/>
      <c r="B263" t="s">
        <v>414</v>
      </c>
      <c r="C263" s="4" t="s">
        <v>44</v>
      </c>
      <c r="D263" t="s">
        <v>415</v>
      </c>
      <c r="E263" s="4" t="s">
        <v>21</v>
      </c>
      <c r="F263" s="4" t="s">
        <v>416</v>
      </c>
      <c r="G263" s="4" t="s">
        <v>417</v>
      </c>
      <c r="H263" s="6" t="s">
        <v>24</v>
      </c>
      <c r="I263" s="53" t="s">
        <v>25</v>
      </c>
      <c r="J263" s="46"/>
      <c r="K263" s="6" t="s">
        <v>1308</v>
      </c>
      <c r="L263" s="10" t="s">
        <v>28</v>
      </c>
      <c r="M263">
        <v>0</v>
      </c>
      <c r="N263">
        <v>0</v>
      </c>
      <c r="O263">
        <v>0</v>
      </c>
      <c r="P263">
        <f t="shared" si="4"/>
        <v>0</v>
      </c>
      <c r="Q263" s="11" t="s">
        <v>1309</v>
      </c>
    </row>
    <row r="264" spans="1:65" s="15" customFormat="1" ht="20" customHeight="1" x14ac:dyDescent="0.3">
      <c r="A264" s="74"/>
      <c r="B264" s="15" t="s">
        <v>420</v>
      </c>
      <c r="C264" s="14" t="s">
        <v>44</v>
      </c>
      <c r="D264" s="15" t="s">
        <v>415</v>
      </c>
      <c r="E264" s="14" t="s">
        <v>113</v>
      </c>
      <c r="F264" s="15" t="s">
        <v>421</v>
      </c>
      <c r="G264" s="14" t="s">
        <v>422</v>
      </c>
      <c r="H264" s="16" t="s">
        <v>24</v>
      </c>
      <c r="I264" s="42" t="s">
        <v>25</v>
      </c>
      <c r="J264" s="48"/>
      <c r="K264" s="16" t="s">
        <v>1310</v>
      </c>
      <c r="L264" s="20" t="s">
        <v>28</v>
      </c>
      <c r="M264" s="15">
        <v>0</v>
      </c>
      <c r="N264" s="15">
        <v>0</v>
      </c>
      <c r="O264" s="15">
        <v>0</v>
      </c>
      <c r="P264">
        <f t="shared" si="4"/>
        <v>0</v>
      </c>
      <c r="Q264" s="21" t="s">
        <v>1311</v>
      </c>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row>
    <row r="265" spans="1:65" ht="20" customHeight="1" x14ac:dyDescent="0.3">
      <c r="A265" s="97" t="s">
        <v>1312</v>
      </c>
      <c r="B265" t="s">
        <v>277</v>
      </c>
      <c r="C265" s="4" t="s">
        <v>19</v>
      </c>
      <c r="D265" t="s">
        <v>1313</v>
      </c>
      <c r="E265" s="4" t="s">
        <v>43</v>
      </c>
      <c r="F265" s="4" t="s">
        <v>278</v>
      </c>
      <c r="G265" s="4" t="s">
        <v>279</v>
      </c>
      <c r="H265" s="6" t="s">
        <v>309</v>
      </c>
      <c r="I265" s="53" t="s">
        <v>25</v>
      </c>
      <c r="J265" s="45" t="s">
        <v>1314</v>
      </c>
      <c r="K265" s="6" t="s">
        <v>1315</v>
      </c>
      <c r="L265" s="10" t="s">
        <v>28</v>
      </c>
      <c r="M265">
        <v>0</v>
      </c>
      <c r="N265">
        <v>0</v>
      </c>
      <c r="O265">
        <v>0</v>
      </c>
      <c r="P265">
        <f t="shared" si="4"/>
        <v>0</v>
      </c>
      <c r="Q265" s="11" t="s">
        <v>1316</v>
      </c>
    </row>
    <row r="266" spans="1:65" ht="20" customHeight="1" x14ac:dyDescent="0.3">
      <c r="A266" s="97"/>
      <c r="B266" t="s">
        <v>1317</v>
      </c>
      <c r="C266" s="4" t="s">
        <v>19</v>
      </c>
      <c r="D266" t="s">
        <v>1318</v>
      </c>
      <c r="E266" s="4" t="s">
        <v>55</v>
      </c>
      <c r="F266" t="s">
        <v>1319</v>
      </c>
      <c r="G266" t="s">
        <v>1320</v>
      </c>
      <c r="H266" s="6" t="s">
        <v>309</v>
      </c>
      <c r="I266" s="53" t="s">
        <v>25</v>
      </c>
      <c r="J266" s="46"/>
      <c r="K266" s="6" t="s">
        <v>1321</v>
      </c>
      <c r="L266" s="25" t="s">
        <v>62</v>
      </c>
      <c r="M266">
        <v>0</v>
      </c>
      <c r="N266">
        <v>0</v>
      </c>
      <c r="O266">
        <v>0</v>
      </c>
      <c r="P266">
        <f t="shared" si="4"/>
        <v>0</v>
      </c>
      <c r="Q266" s="11" t="s">
        <v>1322</v>
      </c>
    </row>
    <row r="267" spans="1:65" ht="20" customHeight="1" x14ac:dyDescent="0.3">
      <c r="A267" s="97"/>
      <c r="B267" t="s">
        <v>1323</v>
      </c>
      <c r="C267" s="4" t="s">
        <v>44</v>
      </c>
      <c r="D267" t="s">
        <v>1318</v>
      </c>
      <c r="E267" s="4" t="s">
        <v>55</v>
      </c>
      <c r="F267" s="4" t="s">
        <v>307</v>
      </c>
      <c r="G267" s="4" t="s">
        <v>308</v>
      </c>
      <c r="H267" s="6" t="s">
        <v>309</v>
      </c>
      <c r="I267" s="53" t="s">
        <v>25</v>
      </c>
      <c r="J267" s="46"/>
      <c r="K267" s="6" t="s">
        <v>1324</v>
      </c>
      <c r="L267" s="25" t="s">
        <v>62</v>
      </c>
      <c r="M267">
        <v>0</v>
      </c>
      <c r="N267">
        <v>0</v>
      </c>
      <c r="O267">
        <v>0</v>
      </c>
      <c r="P267">
        <f t="shared" si="4"/>
        <v>0</v>
      </c>
      <c r="Q267" s="11" t="s">
        <v>1325</v>
      </c>
    </row>
    <row r="268" spans="1:65" s="15" customFormat="1" ht="20" customHeight="1" x14ac:dyDescent="0.3">
      <c r="A268" s="41"/>
      <c r="B268" s="15" t="s">
        <v>1326</v>
      </c>
      <c r="C268" s="14" t="s">
        <v>44</v>
      </c>
      <c r="D268" s="15" t="s">
        <v>1318</v>
      </c>
      <c r="E268" s="15" t="s">
        <v>214</v>
      </c>
      <c r="F268" s="14" t="s">
        <v>1327</v>
      </c>
      <c r="G268" s="14" t="s">
        <v>1328</v>
      </c>
      <c r="H268" s="16" t="s">
        <v>309</v>
      </c>
      <c r="I268" s="42" t="s">
        <v>25</v>
      </c>
      <c r="J268" s="48"/>
      <c r="K268" s="16" t="s">
        <v>1329</v>
      </c>
      <c r="L268" s="20" t="s">
        <v>28</v>
      </c>
      <c r="M268" s="15">
        <v>0</v>
      </c>
      <c r="N268" s="15">
        <v>0</v>
      </c>
      <c r="O268" s="15">
        <v>0</v>
      </c>
      <c r="P268">
        <f t="shared" si="4"/>
        <v>0</v>
      </c>
      <c r="Q268" s="21" t="s">
        <v>1330</v>
      </c>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row>
    <row r="269" spans="1:65" ht="20" customHeight="1" x14ac:dyDescent="0.3">
      <c r="A269" s="37" t="s">
        <v>1331</v>
      </c>
      <c r="B269" s="4" t="s">
        <v>1332</v>
      </c>
      <c r="C269" s="4"/>
      <c r="D269" t="s">
        <v>1333</v>
      </c>
      <c r="E269" t="s">
        <v>113</v>
      </c>
      <c r="F269" t="s">
        <v>1334</v>
      </c>
      <c r="G269" t="s">
        <v>1335</v>
      </c>
      <c r="H269" s="6" t="s">
        <v>1336</v>
      </c>
      <c r="I269" s="53" t="s">
        <v>25</v>
      </c>
      <c r="J269" s="24" t="s">
        <v>1337</v>
      </c>
      <c r="K269" t="s">
        <v>1338</v>
      </c>
      <c r="L269" s="10" t="s">
        <v>28</v>
      </c>
      <c r="M269">
        <v>1</v>
      </c>
      <c r="N269">
        <v>0</v>
      </c>
      <c r="O269">
        <v>0</v>
      </c>
      <c r="P269">
        <f t="shared" si="4"/>
        <v>1</v>
      </c>
      <c r="Q269" s="11" t="s">
        <v>1339</v>
      </c>
    </row>
    <row r="270" spans="1:65" ht="20" customHeight="1" x14ac:dyDescent="0.3">
      <c r="A270" s="37"/>
      <c r="B270" s="4" t="s">
        <v>1340</v>
      </c>
      <c r="C270" s="4"/>
      <c r="D270" t="s">
        <v>1333</v>
      </c>
      <c r="E270" t="s">
        <v>113</v>
      </c>
      <c r="F270" t="s">
        <v>1341</v>
      </c>
      <c r="G270" t="s">
        <v>1342</v>
      </c>
      <c r="H270" s="6" t="s">
        <v>1343</v>
      </c>
      <c r="I270" s="53" t="s">
        <v>25</v>
      </c>
      <c r="J270" s="46"/>
      <c r="K270" s="6" t="s">
        <v>1344</v>
      </c>
      <c r="L270" s="10" t="s">
        <v>28</v>
      </c>
      <c r="M270">
        <v>1</v>
      </c>
      <c r="N270">
        <v>0</v>
      </c>
      <c r="O270">
        <v>0</v>
      </c>
      <c r="P270">
        <f t="shared" si="4"/>
        <v>1</v>
      </c>
      <c r="Q270" s="11" t="s">
        <v>1345</v>
      </c>
    </row>
    <row r="271" spans="1:65" ht="20" customHeight="1" x14ac:dyDescent="0.3">
      <c r="A271" s="37"/>
      <c r="B271" s="4" t="s">
        <v>1346</v>
      </c>
      <c r="C271" s="4"/>
      <c r="D271" t="s">
        <v>1333</v>
      </c>
      <c r="E271" t="s">
        <v>113</v>
      </c>
      <c r="F271" t="s">
        <v>1347</v>
      </c>
      <c r="G271" t="s">
        <v>1348</v>
      </c>
      <c r="H271" s="6" t="s">
        <v>1349</v>
      </c>
      <c r="I271" s="53" t="s">
        <v>25</v>
      </c>
      <c r="J271" s="46"/>
      <c r="K271" s="6" t="s">
        <v>1350</v>
      </c>
      <c r="L271" s="10" t="s">
        <v>28</v>
      </c>
      <c r="M271">
        <v>1</v>
      </c>
      <c r="N271">
        <v>0</v>
      </c>
      <c r="O271">
        <v>0</v>
      </c>
      <c r="P271">
        <f t="shared" si="4"/>
        <v>1</v>
      </c>
      <c r="Q271" s="11" t="s">
        <v>1351</v>
      </c>
    </row>
    <row r="272" spans="1:65" ht="20" customHeight="1" x14ac:dyDescent="0.3">
      <c r="A272" s="37"/>
      <c r="B272" s="4" t="s">
        <v>1352</v>
      </c>
      <c r="C272" s="4"/>
      <c r="D272" t="s">
        <v>1333</v>
      </c>
      <c r="E272" t="s">
        <v>113</v>
      </c>
      <c r="F272" t="s">
        <v>1353</v>
      </c>
      <c r="G272" t="s">
        <v>1354</v>
      </c>
      <c r="H272" s="6" t="s">
        <v>1349</v>
      </c>
      <c r="I272" s="53" t="s">
        <v>25</v>
      </c>
      <c r="J272" s="46"/>
      <c r="K272" s="6" t="s">
        <v>1355</v>
      </c>
      <c r="L272" s="10" t="s">
        <v>28</v>
      </c>
      <c r="M272">
        <v>1</v>
      </c>
      <c r="N272">
        <v>0</v>
      </c>
      <c r="O272">
        <v>0</v>
      </c>
      <c r="P272">
        <f t="shared" si="4"/>
        <v>1</v>
      </c>
      <c r="Q272" s="11" t="s">
        <v>1356</v>
      </c>
    </row>
    <row r="273" spans="1:65" ht="20" customHeight="1" x14ac:dyDescent="0.3">
      <c r="A273" s="37"/>
      <c r="B273" s="4" t="s">
        <v>1357</v>
      </c>
      <c r="C273" s="4"/>
      <c r="D273" t="s">
        <v>1333</v>
      </c>
      <c r="E273" t="s">
        <v>113</v>
      </c>
      <c r="F273" t="s">
        <v>1358</v>
      </c>
      <c r="G273" t="s">
        <v>1359</v>
      </c>
      <c r="H273" s="6" t="s">
        <v>1360</v>
      </c>
      <c r="I273" s="53" t="s">
        <v>25</v>
      </c>
      <c r="J273" s="46"/>
      <c r="K273" s="11" t="s">
        <v>1361</v>
      </c>
      <c r="L273" s="10" t="s">
        <v>28</v>
      </c>
      <c r="M273">
        <v>1</v>
      </c>
      <c r="N273">
        <v>0</v>
      </c>
      <c r="O273">
        <v>0</v>
      </c>
      <c r="P273">
        <f t="shared" si="4"/>
        <v>1</v>
      </c>
      <c r="Q273" s="11" t="s">
        <v>1362</v>
      </c>
    </row>
    <row r="274" spans="1:65" ht="20" customHeight="1" x14ac:dyDescent="0.3">
      <c r="A274" s="37"/>
      <c r="B274" s="4" t="s">
        <v>1363</v>
      </c>
      <c r="C274" s="4"/>
      <c r="D274" t="s">
        <v>1333</v>
      </c>
      <c r="E274" t="s">
        <v>113</v>
      </c>
      <c r="F274" t="s">
        <v>1364</v>
      </c>
      <c r="G274" t="s">
        <v>1365</v>
      </c>
      <c r="H274" s="6" t="s">
        <v>1349</v>
      </c>
      <c r="I274" s="53" t="s">
        <v>25</v>
      </c>
      <c r="J274" s="46"/>
      <c r="K274" s="6" t="s">
        <v>1366</v>
      </c>
      <c r="L274" s="10" t="s">
        <v>28</v>
      </c>
      <c r="M274">
        <v>1</v>
      </c>
      <c r="N274">
        <v>0</v>
      </c>
      <c r="O274">
        <v>0</v>
      </c>
      <c r="P274">
        <f t="shared" si="4"/>
        <v>1</v>
      </c>
      <c r="Q274" s="11" t="s">
        <v>1367</v>
      </c>
    </row>
    <row r="275" spans="1:65" s="15" customFormat="1" ht="20" customHeight="1" x14ac:dyDescent="0.3">
      <c r="A275" s="37"/>
      <c r="B275" s="4" t="s">
        <v>1368</v>
      </c>
      <c r="C275" s="4"/>
      <c r="D275" t="s">
        <v>1333</v>
      </c>
      <c r="E275" t="s">
        <v>113</v>
      </c>
      <c r="F275" t="s">
        <v>1369</v>
      </c>
      <c r="G275" t="s">
        <v>1370</v>
      </c>
      <c r="H275" s="6" t="s">
        <v>1371</v>
      </c>
      <c r="I275" s="53" t="s">
        <v>25</v>
      </c>
      <c r="J275" s="46"/>
      <c r="K275" s="6" t="s">
        <v>1372</v>
      </c>
      <c r="L275" s="10" t="s">
        <v>28</v>
      </c>
      <c r="M275">
        <v>1</v>
      </c>
      <c r="N275">
        <v>1</v>
      </c>
      <c r="O275">
        <v>0</v>
      </c>
      <c r="P275">
        <f t="shared" si="4"/>
        <v>2</v>
      </c>
      <c r="Q275" s="11" t="s">
        <v>1373</v>
      </c>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row>
    <row r="276" spans="1:65" ht="20" customHeight="1" x14ac:dyDescent="0.3">
      <c r="A276" s="37"/>
      <c r="B276" s="4" t="s">
        <v>1374</v>
      </c>
      <c r="C276" s="4"/>
      <c r="D276" t="s">
        <v>1375</v>
      </c>
      <c r="E276" t="s">
        <v>21</v>
      </c>
      <c r="F276" t="s">
        <v>1376</v>
      </c>
      <c r="G276" t="s">
        <v>1377</v>
      </c>
      <c r="H276" s="6" t="s">
        <v>1378</v>
      </c>
      <c r="I276" s="53" t="s">
        <v>25</v>
      </c>
      <c r="J276" s="46"/>
      <c r="K276" s="6" t="s">
        <v>1379</v>
      </c>
      <c r="L276" s="10" t="s">
        <v>28</v>
      </c>
      <c r="M276">
        <v>1</v>
      </c>
      <c r="N276">
        <v>1</v>
      </c>
      <c r="O276">
        <v>0</v>
      </c>
      <c r="P276">
        <f t="shared" si="4"/>
        <v>2</v>
      </c>
      <c r="Q276" s="11" t="s">
        <v>1380</v>
      </c>
    </row>
    <row r="277" spans="1:65" ht="20" customHeight="1" x14ac:dyDescent="0.3">
      <c r="A277" s="37"/>
      <c r="B277" s="4" t="s">
        <v>1381</v>
      </c>
      <c r="C277" s="4"/>
      <c r="D277" t="s">
        <v>1375</v>
      </c>
      <c r="E277" t="s">
        <v>21</v>
      </c>
      <c r="F277" t="s">
        <v>1382</v>
      </c>
      <c r="G277" s="4" t="s">
        <v>1383</v>
      </c>
      <c r="H277" s="6" t="s">
        <v>1349</v>
      </c>
      <c r="I277" s="53" t="s">
        <v>25</v>
      </c>
      <c r="J277" s="46"/>
      <c r="K277" s="4" t="s">
        <v>1384</v>
      </c>
      <c r="L277" s="10" t="s">
        <v>28</v>
      </c>
      <c r="M277">
        <v>1</v>
      </c>
      <c r="N277">
        <v>0</v>
      </c>
      <c r="O277">
        <v>0</v>
      </c>
      <c r="P277">
        <f t="shared" si="4"/>
        <v>1</v>
      </c>
      <c r="Q277" s="11" t="s">
        <v>1385</v>
      </c>
    </row>
    <row r="278" spans="1:65" ht="20" customHeight="1" x14ac:dyDescent="0.3">
      <c r="A278" s="37"/>
      <c r="B278" s="4" t="s">
        <v>1386</v>
      </c>
      <c r="C278" s="4"/>
      <c r="D278" t="s">
        <v>1375</v>
      </c>
      <c r="E278" t="s">
        <v>21</v>
      </c>
      <c r="F278" t="s">
        <v>1387</v>
      </c>
      <c r="G278" t="s">
        <v>1388</v>
      </c>
      <c r="H278" s="6" t="s">
        <v>1389</v>
      </c>
      <c r="I278" s="53" t="s">
        <v>25</v>
      </c>
      <c r="J278" s="46"/>
      <c r="K278" s="4" t="s">
        <v>1390</v>
      </c>
      <c r="L278" s="10" t="s">
        <v>28</v>
      </c>
      <c r="M278">
        <v>1</v>
      </c>
      <c r="N278">
        <v>0</v>
      </c>
      <c r="O278">
        <v>0</v>
      </c>
      <c r="P278">
        <f t="shared" si="4"/>
        <v>1</v>
      </c>
      <c r="Q278" s="11" t="s">
        <v>1391</v>
      </c>
    </row>
    <row r="279" spans="1:65" ht="20" customHeight="1" x14ac:dyDescent="0.3">
      <c r="A279" s="37"/>
      <c r="B279" s="4" t="s">
        <v>1392</v>
      </c>
      <c r="C279" s="4"/>
      <c r="D279" t="s">
        <v>1375</v>
      </c>
      <c r="E279" t="s">
        <v>21</v>
      </c>
      <c r="F279" t="s">
        <v>1393</v>
      </c>
      <c r="G279" t="s">
        <v>1394</v>
      </c>
      <c r="H279" s="6" t="s">
        <v>1395</v>
      </c>
      <c r="I279" s="53" t="s">
        <v>25</v>
      </c>
      <c r="J279" s="46"/>
      <c r="K279" s="4" t="s">
        <v>1396</v>
      </c>
      <c r="L279" s="10" t="s">
        <v>28</v>
      </c>
      <c r="M279">
        <v>1</v>
      </c>
      <c r="N279">
        <v>0</v>
      </c>
      <c r="O279">
        <v>0</v>
      </c>
      <c r="P279">
        <f t="shared" si="4"/>
        <v>1</v>
      </c>
      <c r="Q279" s="11" t="s">
        <v>1397</v>
      </c>
    </row>
    <row r="280" spans="1:65" ht="20" customHeight="1" x14ac:dyDescent="0.3">
      <c r="A280" s="37"/>
      <c r="B280" s="4" t="s">
        <v>1398</v>
      </c>
      <c r="C280" s="4"/>
      <c r="D280" t="s">
        <v>1399</v>
      </c>
      <c r="E280" t="s">
        <v>220</v>
      </c>
      <c r="F280" t="s">
        <v>1400</v>
      </c>
      <c r="G280" t="s">
        <v>1401</v>
      </c>
      <c r="H280" s="6" t="s">
        <v>1402</v>
      </c>
      <c r="I280" s="53" t="s">
        <v>25</v>
      </c>
      <c r="J280" s="46"/>
      <c r="K280" s="6" t="s">
        <v>1403</v>
      </c>
      <c r="L280" s="10" t="s">
        <v>28</v>
      </c>
      <c r="M280">
        <v>1</v>
      </c>
      <c r="N280">
        <v>0</v>
      </c>
      <c r="O280">
        <v>0</v>
      </c>
      <c r="P280">
        <f t="shared" si="4"/>
        <v>1</v>
      </c>
      <c r="Q280" s="11" t="s">
        <v>1404</v>
      </c>
    </row>
    <row r="281" spans="1:65" ht="20" customHeight="1" x14ac:dyDescent="0.3">
      <c r="A281" s="37"/>
      <c r="B281" s="4" t="s">
        <v>1405</v>
      </c>
      <c r="C281" s="4"/>
      <c r="D281" t="s">
        <v>1399</v>
      </c>
      <c r="E281" t="s">
        <v>186</v>
      </c>
      <c r="F281" t="s">
        <v>1406</v>
      </c>
      <c r="G281" t="s">
        <v>1407</v>
      </c>
      <c r="H281" s="6" t="s">
        <v>1408</v>
      </c>
      <c r="I281" s="53" t="s">
        <v>25</v>
      </c>
      <c r="J281" s="46"/>
      <c r="K281" s="6" t="s">
        <v>1409</v>
      </c>
      <c r="L281" s="10" t="s">
        <v>28</v>
      </c>
      <c r="M281">
        <v>1</v>
      </c>
      <c r="N281">
        <v>0</v>
      </c>
      <c r="O281">
        <v>0</v>
      </c>
      <c r="P281">
        <f>M281+N281+O281</f>
        <v>1</v>
      </c>
      <c r="Q281" s="11" t="s">
        <v>1410</v>
      </c>
    </row>
    <row r="282" spans="1:65" ht="20" customHeight="1" x14ac:dyDescent="0.3">
      <c r="A282" s="37"/>
      <c r="B282" s="4" t="s">
        <v>1411</v>
      </c>
      <c r="C282" s="4"/>
      <c r="D282" t="s">
        <v>1399</v>
      </c>
      <c r="E282" t="s">
        <v>220</v>
      </c>
      <c r="F282" t="s">
        <v>1412</v>
      </c>
      <c r="G282" t="s">
        <v>1413</v>
      </c>
      <c r="H282" s="6" t="s">
        <v>1414</v>
      </c>
      <c r="I282" s="53" t="s">
        <v>25</v>
      </c>
      <c r="J282" s="46"/>
      <c r="K282" s="4" t="s">
        <v>1415</v>
      </c>
      <c r="L282" s="10" t="s">
        <v>28</v>
      </c>
      <c r="M282">
        <v>1</v>
      </c>
      <c r="N282">
        <v>0</v>
      </c>
      <c r="O282">
        <v>0</v>
      </c>
      <c r="P282">
        <f t="shared" si="4"/>
        <v>1</v>
      </c>
      <c r="Q282" s="11" t="s">
        <v>1416</v>
      </c>
    </row>
    <row r="283" spans="1:65" ht="20" customHeight="1" x14ac:dyDescent="0.3">
      <c r="A283" s="37"/>
      <c r="B283" s="4" t="s">
        <v>1417</v>
      </c>
      <c r="C283" s="4"/>
      <c r="D283" t="s">
        <v>1399</v>
      </c>
      <c r="E283" t="s">
        <v>21</v>
      </c>
      <c r="F283" t="s">
        <v>1418</v>
      </c>
      <c r="G283" t="s">
        <v>1419</v>
      </c>
      <c r="H283" s="6" t="s">
        <v>1395</v>
      </c>
      <c r="I283" s="53" t="s">
        <v>25</v>
      </c>
      <c r="J283" s="46"/>
      <c r="K283" s="4" t="s">
        <v>1420</v>
      </c>
      <c r="L283" s="10" t="s">
        <v>28</v>
      </c>
      <c r="M283">
        <v>1</v>
      </c>
      <c r="N283">
        <v>0</v>
      </c>
      <c r="O283">
        <v>0</v>
      </c>
      <c r="P283">
        <f t="shared" si="4"/>
        <v>1</v>
      </c>
      <c r="Q283" s="11" t="s">
        <v>1421</v>
      </c>
    </row>
    <row r="284" spans="1:65" ht="20" customHeight="1" x14ac:dyDescent="0.3">
      <c r="A284" s="37"/>
      <c r="B284" s="4" t="s">
        <v>1422</v>
      </c>
      <c r="C284" s="4"/>
      <c r="D284" t="s">
        <v>1399</v>
      </c>
      <c r="E284" t="s">
        <v>113</v>
      </c>
      <c r="F284" t="s">
        <v>1423</v>
      </c>
      <c r="G284" t="s">
        <v>1424</v>
      </c>
      <c r="H284" s="6" t="s">
        <v>1360</v>
      </c>
      <c r="I284" s="53" t="s">
        <v>25</v>
      </c>
      <c r="J284" s="46"/>
      <c r="K284" s="6" t="s">
        <v>1425</v>
      </c>
      <c r="L284" s="10" t="s">
        <v>28</v>
      </c>
      <c r="M284">
        <v>1</v>
      </c>
      <c r="N284">
        <v>0</v>
      </c>
      <c r="O284">
        <v>0</v>
      </c>
      <c r="P284">
        <f t="shared" si="4"/>
        <v>1</v>
      </c>
      <c r="Q284" s="11" t="s">
        <v>1426</v>
      </c>
    </row>
    <row r="285" spans="1:65" ht="20" customHeight="1" x14ac:dyDescent="0.3">
      <c r="A285" s="37"/>
      <c r="B285" s="4" t="s">
        <v>1427</v>
      </c>
      <c r="C285" s="4"/>
      <c r="D285" t="s">
        <v>1399</v>
      </c>
      <c r="E285" t="s">
        <v>113</v>
      </c>
      <c r="F285" t="s">
        <v>1428</v>
      </c>
      <c r="G285" t="s">
        <v>1429</v>
      </c>
      <c r="H285" s="6" t="s">
        <v>1395</v>
      </c>
      <c r="I285" s="53" t="s">
        <v>25</v>
      </c>
      <c r="J285" s="46"/>
      <c r="K285" s="4" t="s">
        <v>1430</v>
      </c>
      <c r="L285" s="10" t="s">
        <v>28</v>
      </c>
      <c r="M285">
        <v>1</v>
      </c>
      <c r="N285">
        <v>0</v>
      </c>
      <c r="O285">
        <v>0</v>
      </c>
      <c r="P285">
        <f t="shared" si="4"/>
        <v>1</v>
      </c>
      <c r="Q285" s="11" t="s">
        <v>1431</v>
      </c>
    </row>
    <row r="286" spans="1:65" s="15" customFormat="1" ht="20" customHeight="1" x14ac:dyDescent="0.3">
      <c r="A286" s="39"/>
      <c r="B286" s="14" t="s">
        <v>1432</v>
      </c>
      <c r="C286" s="14"/>
      <c r="D286" s="15" t="s">
        <v>1399</v>
      </c>
      <c r="E286" s="15" t="s">
        <v>220</v>
      </c>
      <c r="F286" s="15" t="s">
        <v>1433</v>
      </c>
      <c r="G286" s="15" t="s">
        <v>1434</v>
      </c>
      <c r="H286" s="16" t="s">
        <v>1414</v>
      </c>
      <c r="I286" s="42" t="s">
        <v>25</v>
      </c>
      <c r="J286" s="46"/>
      <c r="K286" s="14" t="s">
        <v>1435</v>
      </c>
      <c r="L286" s="20" t="s">
        <v>28</v>
      </c>
      <c r="M286" s="15">
        <v>1</v>
      </c>
      <c r="N286" s="15">
        <v>0</v>
      </c>
      <c r="O286" s="15">
        <v>0</v>
      </c>
      <c r="P286" s="15">
        <f t="shared" si="4"/>
        <v>1</v>
      </c>
      <c r="Q286" s="21" t="s">
        <v>1436</v>
      </c>
    </row>
    <row r="287" spans="1:65" ht="20" customHeight="1" x14ac:dyDescent="0.3">
      <c r="A287" s="98"/>
      <c r="B287" s="99"/>
      <c r="C287" s="4"/>
      <c r="D287" s="4"/>
      <c r="E287" s="4"/>
      <c r="F287" s="4"/>
      <c r="G287" s="4"/>
      <c r="H287" s="4"/>
      <c r="I287" s="4"/>
    </row>
    <row r="288" spans="1:65" ht="20" customHeight="1" x14ac:dyDescent="0.3">
      <c r="A288" s="98"/>
      <c r="B288" s="99"/>
      <c r="C288" s="4"/>
      <c r="D288" s="4"/>
      <c r="E288" s="4"/>
      <c r="F288" s="4"/>
      <c r="G288" s="4"/>
      <c r="H288" s="4"/>
      <c r="I288" s="4"/>
      <c r="K288"/>
    </row>
    <row r="289" spans="1:11" ht="20" customHeight="1" x14ac:dyDescent="0.3">
      <c r="A289" s="98"/>
      <c r="B289" s="99"/>
      <c r="C289" s="4"/>
      <c r="D289" s="4"/>
      <c r="E289" s="4"/>
      <c r="F289" s="4"/>
      <c r="G289" s="4"/>
      <c r="H289" s="4"/>
      <c r="I289" s="4"/>
      <c r="K289"/>
    </row>
    <row r="290" spans="1:11" ht="20" customHeight="1" x14ac:dyDescent="0.3">
      <c r="A290" s="98"/>
      <c r="B290" s="99"/>
      <c r="C290" s="4"/>
      <c r="D290" s="4"/>
      <c r="E290" s="4"/>
      <c r="F290" s="4"/>
      <c r="G290" s="4"/>
      <c r="H290" s="4"/>
      <c r="I290" s="4"/>
      <c r="K290"/>
    </row>
    <row r="291" spans="1:11" ht="20" customHeight="1" x14ac:dyDescent="0.3">
      <c r="A291" s="98"/>
      <c r="B291" s="99"/>
      <c r="C291" s="4"/>
      <c r="D291" s="4"/>
      <c r="E291" s="4"/>
      <c r="F291" s="4"/>
      <c r="G291" s="4"/>
      <c r="H291" s="4"/>
      <c r="I291" s="4"/>
      <c r="K291"/>
    </row>
    <row r="292" spans="1:11" ht="20" customHeight="1" x14ac:dyDescent="0.3">
      <c r="A292" s="98"/>
      <c r="B292" s="99"/>
      <c r="C292" s="4"/>
      <c r="D292" s="4"/>
      <c r="E292" s="4"/>
      <c r="F292" s="4"/>
      <c r="G292" s="4"/>
      <c r="H292" s="4"/>
      <c r="I292" s="4"/>
      <c r="K292" s="99"/>
    </row>
    <row r="293" spans="1:11" ht="20" customHeight="1" x14ac:dyDescent="0.3">
      <c r="A293" s="98"/>
      <c r="B293" s="4"/>
      <c r="C293" s="4"/>
      <c r="D293" s="4"/>
      <c r="E293" s="4"/>
      <c r="F293" s="4"/>
      <c r="G293" s="4"/>
      <c r="H293" s="4"/>
      <c r="I293" s="4"/>
      <c r="K293" s="99"/>
    </row>
    <row r="294" spans="1:11" ht="20" customHeight="1" x14ac:dyDescent="0.3">
      <c r="A294" s="98"/>
      <c r="B294" s="4"/>
      <c r="C294" s="4"/>
      <c r="D294" s="4"/>
      <c r="E294" s="4"/>
      <c r="F294" s="4"/>
      <c r="G294" s="4"/>
      <c r="H294" s="4"/>
      <c r="I294" s="4"/>
    </row>
    <row r="295" spans="1:11" ht="20" customHeight="1" x14ac:dyDescent="0.3">
      <c r="A295" s="98"/>
      <c r="B295" s="4"/>
      <c r="C295" s="4"/>
      <c r="D295" s="4"/>
      <c r="E295" s="4"/>
      <c r="F295" s="4"/>
      <c r="G295" s="4"/>
      <c r="H295" s="4"/>
      <c r="I295" s="4"/>
    </row>
    <row r="296" spans="1:11" ht="20" customHeight="1" x14ac:dyDescent="0.3">
      <c r="A296" s="98"/>
      <c r="B296" s="4"/>
      <c r="C296" s="4"/>
      <c r="D296" s="4"/>
      <c r="E296" s="4"/>
      <c r="F296" s="4"/>
      <c r="G296" s="4"/>
      <c r="H296" s="4"/>
      <c r="I296" s="4"/>
    </row>
    <row r="297" spans="1:11" ht="20" customHeight="1" x14ac:dyDescent="0.3">
      <c r="A297" s="98"/>
      <c r="B297" s="4"/>
      <c r="C297" s="4"/>
      <c r="D297" s="4"/>
      <c r="E297" s="4"/>
      <c r="F297" s="4"/>
      <c r="G297" s="4"/>
      <c r="H297" s="4"/>
      <c r="I297" s="4"/>
    </row>
    <row r="298" spans="1:11" ht="20" customHeight="1" x14ac:dyDescent="0.3">
      <c r="A298" s="98"/>
      <c r="B298" s="4"/>
      <c r="C298" s="4"/>
      <c r="D298" s="4"/>
      <c r="E298" s="4"/>
      <c r="F298" s="4"/>
      <c r="G298" s="4"/>
      <c r="H298" s="4"/>
      <c r="I298" s="4"/>
    </row>
    <row r="299" spans="1:11" ht="20" customHeight="1" x14ac:dyDescent="0.3">
      <c r="B299" s="4"/>
      <c r="C299" s="4"/>
      <c r="D299" s="4"/>
      <c r="E299" s="4"/>
      <c r="F299" s="4"/>
      <c r="G299" s="4"/>
      <c r="H299" s="4"/>
      <c r="I299" s="4"/>
    </row>
    <row r="300" spans="1:11" ht="20" customHeight="1" x14ac:dyDescent="0.3">
      <c r="A300" s="98"/>
      <c r="B300" s="4"/>
      <c r="C300" s="4"/>
      <c r="D300" s="4"/>
      <c r="E300" s="4"/>
      <c r="F300" s="4"/>
      <c r="G300" s="4"/>
      <c r="H300" s="4"/>
      <c r="I300" s="4"/>
    </row>
    <row r="301" spans="1:11" ht="20" customHeight="1" x14ac:dyDescent="0.3">
      <c r="A301" s="98"/>
      <c r="B301" s="4"/>
      <c r="C301" s="4"/>
      <c r="D301" s="4"/>
      <c r="E301" s="4"/>
      <c r="F301" s="4"/>
      <c r="G301" s="4"/>
      <c r="H301" s="4"/>
      <c r="I301" s="4"/>
    </row>
    <row r="302" spans="1:11" ht="20" customHeight="1" x14ac:dyDescent="0.3">
      <c r="A302" s="98"/>
      <c r="B302" s="4"/>
      <c r="C302" s="4"/>
      <c r="D302" s="4"/>
      <c r="E302" s="4"/>
      <c r="F302" s="4"/>
      <c r="G302" s="4"/>
      <c r="H302" s="4"/>
      <c r="I302" s="4"/>
    </row>
    <row r="303" spans="1:11" ht="20" customHeight="1" x14ac:dyDescent="0.3">
      <c r="A303" s="98"/>
      <c r="B303" s="4"/>
      <c r="C303" s="4"/>
      <c r="D303" s="4"/>
      <c r="E303" s="4"/>
      <c r="F303" s="4"/>
      <c r="G303" s="4"/>
      <c r="H303" s="4"/>
      <c r="I303" s="4"/>
    </row>
    <row r="304" spans="1:11" ht="20" customHeight="1" x14ac:dyDescent="0.3">
      <c r="B304" s="4"/>
      <c r="C304" s="4"/>
      <c r="D304" s="4"/>
      <c r="E304" s="4"/>
      <c r="F304" s="4"/>
      <c r="G304" s="4"/>
      <c r="H304" s="4"/>
      <c r="I304" s="4"/>
    </row>
    <row r="305" spans="1:9" ht="20" customHeight="1" x14ac:dyDescent="0.3">
      <c r="A305" s="98"/>
      <c r="B305" s="4"/>
      <c r="C305" s="4"/>
      <c r="D305" s="4"/>
      <c r="E305" s="4"/>
      <c r="F305" s="4"/>
      <c r="G305" s="4"/>
      <c r="H305" s="4"/>
      <c r="I305" s="4"/>
    </row>
    <row r="306" spans="1:9" ht="20" customHeight="1" x14ac:dyDescent="0.3">
      <c r="B306" s="4"/>
      <c r="C306" s="4"/>
      <c r="D306" s="4"/>
      <c r="E306" s="4"/>
      <c r="F306" s="4"/>
      <c r="G306" s="4"/>
      <c r="H306" s="99"/>
      <c r="I306" s="99"/>
    </row>
    <row r="307" spans="1:9" ht="20" customHeight="1" x14ac:dyDescent="0.3">
      <c r="B307" s="99"/>
      <c r="C307" s="99"/>
      <c r="D307" s="99"/>
      <c r="H307" s="99"/>
      <c r="I307" s="99"/>
    </row>
    <row r="308" spans="1:9" ht="20" customHeight="1" x14ac:dyDescent="0.3">
      <c r="B308" s="99"/>
      <c r="C308" s="99"/>
      <c r="D308" s="99"/>
      <c r="H308" s="99"/>
      <c r="I308" s="99"/>
    </row>
    <row r="309" spans="1:9" ht="20" customHeight="1" x14ac:dyDescent="0.3">
      <c r="B309" s="99"/>
      <c r="C309" s="99"/>
      <c r="D309" s="99"/>
      <c r="H309" s="99"/>
      <c r="I309" s="99"/>
    </row>
    <row r="310" spans="1:9" ht="20" customHeight="1" x14ac:dyDescent="0.3">
      <c r="B310" s="99"/>
      <c r="C310" s="99"/>
      <c r="D310" s="99"/>
      <c r="H310" s="99"/>
      <c r="I310" s="99"/>
    </row>
    <row r="311" spans="1:9" ht="20" customHeight="1" x14ac:dyDescent="0.3">
      <c r="B311" s="99"/>
      <c r="C311" s="99"/>
      <c r="D311" s="99"/>
    </row>
  </sheetData>
  <mergeCells count="26">
    <mergeCell ref="J265:J268"/>
    <mergeCell ref="J269:J286"/>
    <mergeCell ref="J199:J203"/>
    <mergeCell ref="J204:J208"/>
    <mergeCell ref="J209:J213"/>
    <mergeCell ref="J215:J245"/>
    <mergeCell ref="J251:J257"/>
    <mergeCell ref="J258:J264"/>
    <mergeCell ref="J158:J162"/>
    <mergeCell ref="J163:J169"/>
    <mergeCell ref="J170:J171"/>
    <mergeCell ref="J172:J176"/>
    <mergeCell ref="J177:J180"/>
    <mergeCell ref="J181:J198"/>
    <mergeCell ref="J69:J83"/>
    <mergeCell ref="J84:J88"/>
    <mergeCell ref="J89:J91"/>
    <mergeCell ref="J92:J114"/>
    <mergeCell ref="J115:J134"/>
    <mergeCell ref="J135:J157"/>
    <mergeCell ref="J2:J5"/>
    <mergeCell ref="J6:J13"/>
    <mergeCell ref="J14:J21"/>
    <mergeCell ref="J22:J28"/>
    <mergeCell ref="J30:J44"/>
    <mergeCell ref="J45:J6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694C9-1673-ED47-8AF5-96A91CDEAF3A}">
  <dimension ref="A1:K286"/>
  <sheetViews>
    <sheetView topLeftCell="A256" workbookViewId="0">
      <selection activeCell="D48" sqref="D48"/>
    </sheetView>
  </sheetViews>
  <sheetFormatPr baseColWidth="10" defaultRowHeight="16" x14ac:dyDescent="0.2"/>
  <cols>
    <col min="8" max="8" width="15.1640625" style="4" customWidth="1"/>
    <col min="11" max="11" width="8.1640625" customWidth="1"/>
  </cols>
  <sheetData>
    <row r="1" spans="1:11" x14ac:dyDescent="0.2">
      <c r="A1" t="s">
        <v>0</v>
      </c>
      <c r="B1" t="s">
        <v>1</v>
      </c>
      <c r="C1" t="s">
        <v>5</v>
      </c>
      <c r="D1" t="s">
        <v>6</v>
      </c>
      <c r="E1" t="s">
        <v>2</v>
      </c>
      <c r="F1" t="s">
        <v>3</v>
      </c>
      <c r="H1" s="4" t="s">
        <v>4</v>
      </c>
      <c r="I1" t="s">
        <v>12</v>
      </c>
      <c r="J1" t="s">
        <v>13</v>
      </c>
      <c r="K1" t="s">
        <v>14</v>
      </c>
    </row>
    <row r="2" spans="1:11" x14ac:dyDescent="0.2">
      <c r="A2" t="s">
        <v>17</v>
      </c>
      <c r="B2" t="s">
        <v>18</v>
      </c>
      <c r="C2" t="s">
        <v>22</v>
      </c>
      <c r="D2" t="s">
        <v>23</v>
      </c>
      <c r="E2" t="s">
        <v>19</v>
      </c>
      <c r="F2" t="s">
        <v>1437</v>
      </c>
      <c r="H2" s="5" t="s">
        <v>21</v>
      </c>
      <c r="I2">
        <v>1</v>
      </c>
      <c r="J2">
        <v>1</v>
      </c>
      <c r="K2">
        <v>1</v>
      </c>
    </row>
    <row r="3" spans="1:11" x14ac:dyDescent="0.2">
      <c r="A3" t="s">
        <v>17</v>
      </c>
      <c r="B3" t="s">
        <v>30</v>
      </c>
      <c r="C3" t="s">
        <v>32</v>
      </c>
      <c r="D3" t="s">
        <v>33</v>
      </c>
      <c r="E3" t="s">
        <v>19</v>
      </c>
      <c r="F3" t="s">
        <v>1437</v>
      </c>
      <c r="H3" s="4" t="s">
        <v>31</v>
      </c>
      <c r="I3">
        <v>1</v>
      </c>
      <c r="J3">
        <v>1</v>
      </c>
      <c r="K3">
        <v>1</v>
      </c>
    </row>
    <row r="4" spans="1:11" x14ac:dyDescent="0.2">
      <c r="A4" t="s">
        <v>17</v>
      </c>
      <c r="B4" t="s">
        <v>36</v>
      </c>
      <c r="C4" t="s">
        <v>39</v>
      </c>
      <c r="D4" t="s">
        <v>40</v>
      </c>
      <c r="E4" t="s">
        <v>19</v>
      </c>
      <c r="F4" t="s">
        <v>1437</v>
      </c>
      <c r="H4" s="4" t="s">
        <v>38</v>
      </c>
      <c r="I4">
        <v>1</v>
      </c>
      <c r="J4">
        <v>0</v>
      </c>
      <c r="K4">
        <v>0</v>
      </c>
    </row>
    <row r="5" spans="1:11" x14ac:dyDescent="0.2">
      <c r="A5" t="s">
        <v>17</v>
      </c>
      <c r="B5" t="s">
        <v>43</v>
      </c>
      <c r="C5" t="s">
        <v>46</v>
      </c>
      <c r="D5" t="s">
        <v>47</v>
      </c>
      <c r="E5" t="s">
        <v>44</v>
      </c>
      <c r="F5" t="s">
        <v>1437</v>
      </c>
      <c r="H5" s="4" t="s">
        <v>43</v>
      </c>
      <c r="I5">
        <v>1</v>
      </c>
      <c r="J5">
        <v>0</v>
      </c>
      <c r="K5">
        <v>0</v>
      </c>
    </row>
    <row r="6" spans="1:11" x14ac:dyDescent="0.2">
      <c r="A6" t="s">
        <v>51</v>
      </c>
      <c r="B6" t="s">
        <v>52</v>
      </c>
      <c r="C6" t="s">
        <v>56</v>
      </c>
      <c r="D6" t="s">
        <v>57</v>
      </c>
      <c r="E6" t="s">
        <v>19</v>
      </c>
      <c r="F6" t="s">
        <v>1438</v>
      </c>
      <c r="H6" s="4" t="s">
        <v>55</v>
      </c>
      <c r="I6">
        <v>1</v>
      </c>
      <c r="J6">
        <v>1</v>
      </c>
      <c r="K6">
        <v>1</v>
      </c>
    </row>
    <row r="7" spans="1:11" x14ac:dyDescent="0.2">
      <c r="A7" t="s">
        <v>51</v>
      </c>
      <c r="B7" t="s">
        <v>64</v>
      </c>
      <c r="C7" t="s">
        <v>65</v>
      </c>
      <c r="D7" t="s">
        <v>66</v>
      </c>
      <c r="E7" t="s">
        <v>19</v>
      </c>
      <c r="F7" t="s">
        <v>1438</v>
      </c>
      <c r="H7" s="4" t="s">
        <v>55</v>
      </c>
      <c r="I7">
        <v>1</v>
      </c>
      <c r="J7">
        <v>1</v>
      </c>
      <c r="K7">
        <v>1</v>
      </c>
    </row>
    <row r="8" spans="1:11" x14ac:dyDescent="0.2">
      <c r="A8" t="s">
        <v>51</v>
      </c>
      <c r="B8" t="s">
        <v>69</v>
      </c>
      <c r="C8" t="s">
        <v>70</v>
      </c>
      <c r="D8" t="s">
        <v>71</v>
      </c>
      <c r="E8" t="s">
        <v>19</v>
      </c>
      <c r="F8" t="s">
        <v>1438</v>
      </c>
      <c r="H8" s="4" t="s">
        <v>55</v>
      </c>
      <c r="I8">
        <v>1</v>
      </c>
      <c r="J8">
        <v>1</v>
      </c>
      <c r="K8">
        <v>1</v>
      </c>
    </row>
    <row r="9" spans="1:11" x14ac:dyDescent="0.2">
      <c r="A9" t="s">
        <v>51</v>
      </c>
      <c r="B9" t="s">
        <v>74</v>
      </c>
      <c r="C9" t="s">
        <v>75</v>
      </c>
      <c r="D9" t="s">
        <v>76</v>
      </c>
      <c r="E9" t="s">
        <v>19</v>
      </c>
      <c r="F9" t="s">
        <v>1438</v>
      </c>
      <c r="H9" s="4" t="s">
        <v>55</v>
      </c>
      <c r="I9">
        <v>1</v>
      </c>
      <c r="J9">
        <v>1</v>
      </c>
      <c r="K9">
        <v>1</v>
      </c>
    </row>
    <row r="10" spans="1:11" x14ac:dyDescent="0.2">
      <c r="A10" t="s">
        <v>51</v>
      </c>
      <c r="B10" t="s">
        <v>79</v>
      </c>
      <c r="C10" t="s">
        <v>80</v>
      </c>
      <c r="D10" t="s">
        <v>81</v>
      </c>
      <c r="E10" t="s">
        <v>19</v>
      </c>
      <c r="F10" t="s">
        <v>1438</v>
      </c>
      <c r="H10" s="4" t="s">
        <v>55</v>
      </c>
      <c r="I10">
        <v>1</v>
      </c>
      <c r="J10">
        <v>1</v>
      </c>
      <c r="K10">
        <v>1</v>
      </c>
    </row>
    <row r="11" spans="1:11" x14ac:dyDescent="0.2">
      <c r="A11" t="s">
        <v>51</v>
      </c>
      <c r="B11" t="s">
        <v>84</v>
      </c>
      <c r="C11" t="s">
        <v>85</v>
      </c>
      <c r="D11" t="s">
        <v>86</v>
      </c>
      <c r="E11" t="s">
        <v>19</v>
      </c>
      <c r="F11" t="s">
        <v>1438</v>
      </c>
      <c r="H11" s="4" t="s">
        <v>55</v>
      </c>
      <c r="I11">
        <v>1</v>
      </c>
      <c r="J11">
        <v>1</v>
      </c>
      <c r="K11">
        <v>1</v>
      </c>
    </row>
    <row r="12" spans="1:11" x14ac:dyDescent="0.2">
      <c r="A12" t="s">
        <v>51</v>
      </c>
      <c r="B12" t="s">
        <v>89</v>
      </c>
      <c r="C12" t="s">
        <v>92</v>
      </c>
      <c r="D12" t="s">
        <v>93</v>
      </c>
      <c r="E12" t="s">
        <v>19</v>
      </c>
      <c r="F12" t="s">
        <v>1438</v>
      </c>
      <c r="H12" s="4" t="s">
        <v>91</v>
      </c>
      <c r="I12">
        <v>1</v>
      </c>
      <c r="J12">
        <v>1</v>
      </c>
      <c r="K12">
        <v>1</v>
      </c>
    </row>
    <row r="13" spans="1:11" x14ac:dyDescent="0.2">
      <c r="A13" t="s">
        <v>51</v>
      </c>
      <c r="B13" t="s">
        <v>96</v>
      </c>
      <c r="C13" t="s">
        <v>97</v>
      </c>
      <c r="D13" t="s">
        <v>98</v>
      </c>
      <c r="E13" t="s">
        <v>19</v>
      </c>
      <c r="F13" t="s">
        <v>1438</v>
      </c>
      <c r="H13" s="4" t="s">
        <v>91</v>
      </c>
      <c r="I13">
        <v>1</v>
      </c>
      <c r="J13">
        <v>1</v>
      </c>
      <c r="K13">
        <v>1</v>
      </c>
    </row>
    <row r="14" spans="1:11" x14ac:dyDescent="0.2">
      <c r="A14" t="s">
        <v>101</v>
      </c>
      <c r="B14" t="s">
        <v>102</v>
      </c>
      <c r="C14" t="s">
        <v>104</v>
      </c>
      <c r="D14" t="s">
        <v>105</v>
      </c>
      <c r="E14" t="s">
        <v>19</v>
      </c>
      <c r="F14" t="s">
        <v>1439</v>
      </c>
      <c r="H14" s="4" t="s">
        <v>55</v>
      </c>
      <c r="I14">
        <v>1</v>
      </c>
      <c r="J14">
        <v>1</v>
      </c>
      <c r="K14">
        <v>1</v>
      </c>
    </row>
    <row r="15" spans="1:11" x14ac:dyDescent="0.2">
      <c r="A15" t="s">
        <v>101</v>
      </c>
      <c r="B15" t="s">
        <v>111</v>
      </c>
      <c r="C15" t="s">
        <v>114</v>
      </c>
      <c r="D15" t="s">
        <v>115</v>
      </c>
      <c r="E15" t="s">
        <v>19</v>
      </c>
      <c r="F15" t="s">
        <v>1439</v>
      </c>
      <c r="H15" s="4" t="s">
        <v>113</v>
      </c>
      <c r="I15">
        <v>1</v>
      </c>
      <c r="J15">
        <v>1</v>
      </c>
      <c r="K15">
        <v>0</v>
      </c>
    </row>
    <row r="16" spans="1:11" x14ac:dyDescent="0.2">
      <c r="A16" t="s">
        <v>101</v>
      </c>
      <c r="B16" t="s">
        <v>119</v>
      </c>
      <c r="C16" t="s">
        <v>121</v>
      </c>
      <c r="D16" t="s">
        <v>122</v>
      </c>
      <c r="E16" t="s">
        <v>19</v>
      </c>
      <c r="F16" t="s">
        <v>1439</v>
      </c>
      <c r="H16" s="4" t="s">
        <v>113</v>
      </c>
      <c r="I16">
        <v>1</v>
      </c>
      <c r="J16">
        <v>1</v>
      </c>
      <c r="K16">
        <v>0</v>
      </c>
    </row>
    <row r="17" spans="1:11" x14ac:dyDescent="0.2">
      <c r="A17" t="s">
        <v>101</v>
      </c>
      <c r="B17" t="s">
        <v>126</v>
      </c>
      <c r="C17" t="s">
        <v>129</v>
      </c>
      <c r="D17" t="s">
        <v>130</v>
      </c>
      <c r="E17" t="s">
        <v>44</v>
      </c>
      <c r="F17" t="s">
        <v>1439</v>
      </c>
      <c r="H17" s="4" t="s">
        <v>128</v>
      </c>
      <c r="I17">
        <v>1</v>
      </c>
      <c r="J17">
        <v>0</v>
      </c>
      <c r="K17">
        <v>0</v>
      </c>
    </row>
    <row r="18" spans="1:11" x14ac:dyDescent="0.2">
      <c r="A18" t="s">
        <v>101</v>
      </c>
      <c r="B18" t="s">
        <v>135</v>
      </c>
      <c r="C18" t="s">
        <v>137</v>
      </c>
      <c r="D18" t="s">
        <v>138</v>
      </c>
      <c r="E18" t="s">
        <v>44</v>
      </c>
      <c r="F18" t="s">
        <v>1439</v>
      </c>
      <c r="H18" s="4" t="s">
        <v>113</v>
      </c>
      <c r="I18">
        <v>1</v>
      </c>
      <c r="J18">
        <v>0</v>
      </c>
      <c r="K18">
        <v>0</v>
      </c>
    </row>
    <row r="19" spans="1:11" x14ac:dyDescent="0.2">
      <c r="A19" t="s">
        <v>101</v>
      </c>
      <c r="B19" t="s">
        <v>143</v>
      </c>
      <c r="C19" t="s">
        <v>144</v>
      </c>
      <c r="D19" t="s">
        <v>145</v>
      </c>
      <c r="E19" t="s">
        <v>44</v>
      </c>
      <c r="F19" t="s">
        <v>1440</v>
      </c>
      <c r="H19" s="4" t="s">
        <v>113</v>
      </c>
      <c r="I19">
        <v>0</v>
      </c>
      <c r="J19">
        <v>0</v>
      </c>
      <c r="K19">
        <v>0</v>
      </c>
    </row>
    <row r="20" spans="1:11" x14ac:dyDescent="0.2">
      <c r="A20" t="s">
        <v>101</v>
      </c>
      <c r="B20" t="s">
        <v>149</v>
      </c>
      <c r="C20" t="s">
        <v>150</v>
      </c>
      <c r="D20" t="s">
        <v>151</v>
      </c>
      <c r="E20" t="s">
        <v>44</v>
      </c>
      <c r="F20" t="s">
        <v>1439</v>
      </c>
      <c r="H20" s="4" t="s">
        <v>21</v>
      </c>
      <c r="I20">
        <v>0</v>
      </c>
      <c r="J20">
        <v>0</v>
      </c>
      <c r="K20">
        <v>0</v>
      </c>
    </row>
    <row r="21" spans="1:11" x14ac:dyDescent="0.2">
      <c r="A21" t="s">
        <v>101</v>
      </c>
      <c r="B21" t="s">
        <v>154</v>
      </c>
      <c r="C21" t="s">
        <v>155</v>
      </c>
      <c r="D21" t="s">
        <v>156</v>
      </c>
      <c r="E21" t="s">
        <v>44</v>
      </c>
      <c r="F21" t="s">
        <v>1439</v>
      </c>
      <c r="H21" s="4" t="s">
        <v>21</v>
      </c>
      <c r="I21">
        <v>0</v>
      </c>
      <c r="J21">
        <v>0</v>
      </c>
      <c r="K21">
        <v>0</v>
      </c>
    </row>
    <row r="22" spans="1:11" x14ac:dyDescent="0.2">
      <c r="A22" t="s">
        <v>1441</v>
      </c>
      <c r="B22" t="s">
        <v>161</v>
      </c>
      <c r="C22" t="s">
        <v>164</v>
      </c>
      <c r="D22" t="s">
        <v>165</v>
      </c>
      <c r="E22" t="s">
        <v>19</v>
      </c>
      <c r="F22" t="s">
        <v>1442</v>
      </c>
      <c r="H22" s="4" t="s">
        <v>163</v>
      </c>
      <c r="I22">
        <v>1</v>
      </c>
      <c r="J22">
        <v>1</v>
      </c>
      <c r="K22">
        <v>1</v>
      </c>
    </row>
    <row r="23" spans="1:11" x14ac:dyDescent="0.2">
      <c r="A23" t="s">
        <v>1441</v>
      </c>
      <c r="B23" t="s">
        <v>171</v>
      </c>
      <c r="C23" t="s">
        <v>173</v>
      </c>
      <c r="D23" t="s">
        <v>174</v>
      </c>
      <c r="E23" t="s">
        <v>19</v>
      </c>
      <c r="F23" t="s">
        <v>1442</v>
      </c>
      <c r="H23" s="4" t="s">
        <v>172</v>
      </c>
      <c r="I23">
        <v>1</v>
      </c>
      <c r="J23">
        <v>1</v>
      </c>
      <c r="K23">
        <v>1</v>
      </c>
    </row>
    <row r="24" spans="1:11" x14ac:dyDescent="0.2">
      <c r="A24" t="s">
        <v>1441</v>
      </c>
      <c r="B24" t="s">
        <v>178</v>
      </c>
      <c r="C24" t="s">
        <v>180</v>
      </c>
      <c r="D24" t="s">
        <v>181</v>
      </c>
      <c r="E24" t="s">
        <v>19</v>
      </c>
      <c r="F24" t="s">
        <v>1442</v>
      </c>
      <c r="H24" s="4" t="s">
        <v>179</v>
      </c>
      <c r="I24">
        <v>1</v>
      </c>
      <c r="J24">
        <v>1</v>
      </c>
      <c r="K24">
        <v>1</v>
      </c>
    </row>
    <row r="25" spans="1:11" x14ac:dyDescent="0.2">
      <c r="A25" t="s">
        <v>1441</v>
      </c>
      <c r="B25" t="s">
        <v>185</v>
      </c>
      <c r="C25" t="s">
        <v>187</v>
      </c>
      <c r="D25" t="s">
        <v>188</v>
      </c>
      <c r="E25" t="s">
        <v>19</v>
      </c>
      <c r="F25" t="s">
        <v>1442</v>
      </c>
      <c r="H25" s="4" t="s">
        <v>186</v>
      </c>
      <c r="I25">
        <v>1</v>
      </c>
      <c r="J25">
        <v>1</v>
      </c>
      <c r="K25">
        <v>1</v>
      </c>
    </row>
    <row r="26" spans="1:11" x14ac:dyDescent="0.2">
      <c r="A26" t="s">
        <v>1441</v>
      </c>
      <c r="B26" t="s">
        <v>192</v>
      </c>
      <c r="C26" t="s">
        <v>193</v>
      </c>
      <c r="D26" t="s">
        <v>194</v>
      </c>
      <c r="E26" t="s">
        <v>19</v>
      </c>
      <c r="F26" t="s">
        <v>1442</v>
      </c>
      <c r="H26" s="4" t="s">
        <v>55</v>
      </c>
      <c r="I26">
        <v>1</v>
      </c>
      <c r="J26">
        <v>1</v>
      </c>
      <c r="K26">
        <v>1</v>
      </c>
    </row>
    <row r="27" spans="1:11" x14ac:dyDescent="0.2">
      <c r="A27" t="s">
        <v>1441</v>
      </c>
      <c r="B27" t="s">
        <v>198</v>
      </c>
      <c r="C27" t="s">
        <v>199</v>
      </c>
      <c r="D27" t="s">
        <v>200</v>
      </c>
      <c r="E27" t="s">
        <v>19</v>
      </c>
      <c r="F27" t="s">
        <v>1442</v>
      </c>
      <c r="H27" s="4" t="s">
        <v>43</v>
      </c>
      <c r="I27">
        <v>1</v>
      </c>
      <c r="J27">
        <v>1</v>
      </c>
      <c r="K27">
        <v>1</v>
      </c>
    </row>
    <row r="28" spans="1:11" x14ac:dyDescent="0.2">
      <c r="A28" t="s">
        <v>1441</v>
      </c>
      <c r="B28" t="s">
        <v>204</v>
      </c>
      <c r="C28" t="s">
        <v>207</v>
      </c>
      <c r="D28" t="s">
        <v>208</v>
      </c>
      <c r="E28" t="s">
        <v>19</v>
      </c>
      <c r="F28" t="s">
        <v>1442</v>
      </c>
      <c r="H28" s="4" t="s">
        <v>206</v>
      </c>
      <c r="I28">
        <v>1</v>
      </c>
      <c r="J28">
        <v>1</v>
      </c>
      <c r="K28">
        <v>1</v>
      </c>
    </row>
    <row r="29" spans="1:11" x14ac:dyDescent="0.2">
      <c r="A29" t="s">
        <v>211</v>
      </c>
      <c r="B29" t="s">
        <v>212</v>
      </c>
      <c r="C29" t="s">
        <v>207</v>
      </c>
      <c r="D29" t="s">
        <v>208</v>
      </c>
      <c r="E29" t="s">
        <v>19</v>
      </c>
      <c r="F29" t="s">
        <v>1443</v>
      </c>
      <c r="H29" s="4" t="s">
        <v>214</v>
      </c>
      <c r="I29">
        <v>1</v>
      </c>
      <c r="J29">
        <v>0</v>
      </c>
      <c r="K29">
        <v>0</v>
      </c>
    </row>
    <row r="30" spans="1:11" x14ac:dyDescent="0.2">
      <c r="A30" t="s">
        <v>217</v>
      </c>
      <c r="B30" t="s">
        <v>218</v>
      </c>
      <c r="C30" t="s">
        <v>221</v>
      </c>
      <c r="D30" t="s">
        <v>222</v>
      </c>
      <c r="E30" t="s">
        <v>19</v>
      </c>
      <c r="F30" t="s">
        <v>1439</v>
      </c>
      <c r="H30" s="4" t="s">
        <v>220</v>
      </c>
      <c r="I30">
        <v>1</v>
      </c>
      <c r="J30">
        <v>1</v>
      </c>
      <c r="K30">
        <v>1</v>
      </c>
    </row>
    <row r="31" spans="1:11" x14ac:dyDescent="0.2">
      <c r="A31" t="s">
        <v>217</v>
      </c>
      <c r="B31" t="s">
        <v>227</v>
      </c>
      <c r="C31" t="s">
        <v>228</v>
      </c>
      <c r="D31" t="s">
        <v>229</v>
      </c>
      <c r="E31" t="s">
        <v>19</v>
      </c>
      <c r="F31" t="s">
        <v>1439</v>
      </c>
      <c r="H31" s="4" t="s">
        <v>220</v>
      </c>
      <c r="I31">
        <v>1</v>
      </c>
      <c r="J31">
        <v>0</v>
      </c>
      <c r="K31">
        <v>0</v>
      </c>
    </row>
    <row r="32" spans="1:11" x14ac:dyDescent="0.2">
      <c r="A32" t="s">
        <v>217</v>
      </c>
      <c r="B32" t="s">
        <v>232</v>
      </c>
      <c r="C32" t="s">
        <v>233</v>
      </c>
      <c r="D32" t="s">
        <v>234</v>
      </c>
      <c r="E32" t="s">
        <v>19</v>
      </c>
      <c r="F32" t="s">
        <v>1439</v>
      </c>
      <c r="H32" s="4" t="s">
        <v>128</v>
      </c>
      <c r="I32">
        <v>1</v>
      </c>
      <c r="J32">
        <v>0</v>
      </c>
      <c r="K32">
        <v>0</v>
      </c>
    </row>
    <row r="33" spans="1:11" x14ac:dyDescent="0.2">
      <c r="A33" t="s">
        <v>217</v>
      </c>
      <c r="B33" t="s">
        <v>237</v>
      </c>
      <c r="C33" t="s">
        <v>238</v>
      </c>
      <c r="D33" t="s">
        <v>239</v>
      </c>
      <c r="E33" t="s">
        <v>19</v>
      </c>
      <c r="F33" t="s">
        <v>1439</v>
      </c>
      <c r="H33" s="4" t="s">
        <v>113</v>
      </c>
      <c r="I33">
        <v>1</v>
      </c>
      <c r="J33">
        <v>0</v>
      </c>
      <c r="K33">
        <v>0</v>
      </c>
    </row>
    <row r="34" spans="1:11" x14ac:dyDescent="0.2">
      <c r="A34" t="s">
        <v>217</v>
      </c>
      <c r="B34" t="s">
        <v>242</v>
      </c>
      <c r="C34" t="s">
        <v>243</v>
      </c>
      <c r="D34" t="s">
        <v>244</v>
      </c>
      <c r="E34" t="s">
        <v>19</v>
      </c>
      <c r="F34" t="s">
        <v>1439</v>
      </c>
      <c r="H34" s="4" t="s">
        <v>172</v>
      </c>
      <c r="I34">
        <v>1</v>
      </c>
      <c r="J34">
        <v>0</v>
      </c>
      <c r="K34">
        <v>0</v>
      </c>
    </row>
    <row r="35" spans="1:11" x14ac:dyDescent="0.2">
      <c r="A35" t="s">
        <v>217</v>
      </c>
      <c r="B35" t="s">
        <v>247</v>
      </c>
      <c r="C35" t="s">
        <v>243</v>
      </c>
      <c r="D35" t="s">
        <v>244</v>
      </c>
      <c r="E35" t="s">
        <v>19</v>
      </c>
      <c r="F35" t="s">
        <v>1439</v>
      </c>
      <c r="H35" s="4" t="s">
        <v>172</v>
      </c>
      <c r="I35">
        <v>1</v>
      </c>
      <c r="J35">
        <v>0</v>
      </c>
      <c r="K35">
        <v>0</v>
      </c>
    </row>
    <row r="36" spans="1:11" x14ac:dyDescent="0.2">
      <c r="A36" t="s">
        <v>217</v>
      </c>
      <c r="B36" t="s">
        <v>249</v>
      </c>
      <c r="C36" t="s">
        <v>250</v>
      </c>
      <c r="D36" t="s">
        <v>251</v>
      </c>
      <c r="E36" t="s">
        <v>19</v>
      </c>
      <c r="F36" t="s">
        <v>1439</v>
      </c>
      <c r="H36" s="4" t="s">
        <v>172</v>
      </c>
      <c r="I36">
        <v>1</v>
      </c>
      <c r="J36">
        <v>0</v>
      </c>
      <c r="K36">
        <v>0</v>
      </c>
    </row>
    <row r="37" spans="1:11" x14ac:dyDescent="0.2">
      <c r="A37" t="s">
        <v>217</v>
      </c>
      <c r="B37" t="s">
        <v>253</v>
      </c>
      <c r="C37" t="s">
        <v>255</v>
      </c>
      <c r="D37" t="s">
        <v>256</v>
      </c>
      <c r="E37" t="s">
        <v>19</v>
      </c>
      <c r="F37" t="s">
        <v>1444</v>
      </c>
      <c r="H37" s="4" t="s">
        <v>214</v>
      </c>
      <c r="I37">
        <v>1</v>
      </c>
      <c r="J37">
        <v>0</v>
      </c>
      <c r="K37">
        <v>0</v>
      </c>
    </row>
    <row r="38" spans="1:11" x14ac:dyDescent="0.2">
      <c r="A38" t="s">
        <v>217</v>
      </c>
      <c r="B38" t="s">
        <v>259</v>
      </c>
      <c r="C38" t="s">
        <v>262</v>
      </c>
      <c r="D38" t="s">
        <v>263</v>
      </c>
      <c r="E38" t="s">
        <v>19</v>
      </c>
      <c r="F38" t="s">
        <v>1444</v>
      </c>
      <c r="H38" s="4" t="s">
        <v>261</v>
      </c>
      <c r="I38">
        <v>1</v>
      </c>
      <c r="J38">
        <v>0</v>
      </c>
      <c r="K38">
        <v>0</v>
      </c>
    </row>
    <row r="39" spans="1:11" x14ac:dyDescent="0.2">
      <c r="A39" t="s">
        <v>217</v>
      </c>
      <c r="B39" t="s">
        <v>266</v>
      </c>
      <c r="C39" t="s">
        <v>268</v>
      </c>
      <c r="D39" t="s">
        <v>269</v>
      </c>
      <c r="E39" t="s">
        <v>19</v>
      </c>
      <c r="F39" t="s">
        <v>1445</v>
      </c>
      <c r="H39" s="4" t="s">
        <v>91</v>
      </c>
      <c r="I39">
        <v>0</v>
      </c>
      <c r="J39">
        <v>1</v>
      </c>
      <c r="K39">
        <v>1</v>
      </c>
    </row>
    <row r="40" spans="1:11" x14ac:dyDescent="0.2">
      <c r="A40" t="s">
        <v>217</v>
      </c>
      <c r="B40" t="s">
        <v>272</v>
      </c>
      <c r="C40" t="s">
        <v>273</v>
      </c>
      <c r="D40" t="s">
        <v>274</v>
      </c>
      <c r="E40" t="s">
        <v>19</v>
      </c>
      <c r="F40" t="s">
        <v>1445</v>
      </c>
      <c r="H40" s="4" t="s">
        <v>38</v>
      </c>
      <c r="I40">
        <v>0</v>
      </c>
      <c r="J40">
        <v>0</v>
      </c>
      <c r="K40">
        <v>0</v>
      </c>
    </row>
    <row r="41" spans="1:11" x14ac:dyDescent="0.2">
      <c r="A41" t="s">
        <v>217</v>
      </c>
      <c r="B41" t="s">
        <v>277</v>
      </c>
      <c r="C41" t="s">
        <v>278</v>
      </c>
      <c r="D41" t="s">
        <v>279</v>
      </c>
      <c r="E41" t="s">
        <v>19</v>
      </c>
      <c r="F41" t="s">
        <v>1445</v>
      </c>
      <c r="H41" s="4" t="s">
        <v>43</v>
      </c>
      <c r="I41">
        <v>0</v>
      </c>
      <c r="J41">
        <v>0</v>
      </c>
      <c r="K41">
        <v>0</v>
      </c>
    </row>
    <row r="42" spans="1:11" x14ac:dyDescent="0.2">
      <c r="A42" t="s">
        <v>217</v>
      </c>
      <c r="B42" t="s">
        <v>282</v>
      </c>
      <c r="C42" t="s">
        <v>283</v>
      </c>
      <c r="D42" t="s">
        <v>284</v>
      </c>
      <c r="E42" t="s">
        <v>19</v>
      </c>
      <c r="F42" t="s">
        <v>1445</v>
      </c>
      <c r="H42" s="4" t="s">
        <v>220</v>
      </c>
      <c r="I42">
        <v>0</v>
      </c>
      <c r="J42">
        <v>0</v>
      </c>
      <c r="K42">
        <v>0</v>
      </c>
    </row>
    <row r="43" spans="1:11" x14ac:dyDescent="0.2">
      <c r="A43" t="s">
        <v>217</v>
      </c>
      <c r="B43" t="s">
        <v>287</v>
      </c>
      <c r="C43" t="s">
        <v>104</v>
      </c>
      <c r="D43" t="s">
        <v>105</v>
      </c>
      <c r="E43" t="s">
        <v>19</v>
      </c>
      <c r="F43" t="s">
        <v>1439</v>
      </c>
      <c r="H43" s="4" t="s">
        <v>55</v>
      </c>
      <c r="I43">
        <v>1</v>
      </c>
      <c r="J43">
        <v>1</v>
      </c>
      <c r="K43">
        <v>0</v>
      </c>
    </row>
    <row r="44" spans="1:11" x14ac:dyDescent="0.2">
      <c r="A44" t="s">
        <v>217</v>
      </c>
      <c r="B44" t="s">
        <v>126</v>
      </c>
      <c r="C44" t="s">
        <v>129</v>
      </c>
      <c r="D44" t="s">
        <v>130</v>
      </c>
      <c r="E44" t="s">
        <v>44</v>
      </c>
      <c r="F44" t="s">
        <v>1439</v>
      </c>
      <c r="H44" s="4" t="s">
        <v>128</v>
      </c>
      <c r="I44">
        <v>1</v>
      </c>
      <c r="J44">
        <v>0</v>
      </c>
      <c r="K44">
        <v>0</v>
      </c>
    </row>
    <row r="45" spans="1:11" x14ac:dyDescent="0.2">
      <c r="A45" t="s">
        <v>291</v>
      </c>
      <c r="B45" t="s">
        <v>292</v>
      </c>
      <c r="C45" t="s">
        <v>294</v>
      </c>
      <c r="D45" t="s">
        <v>295</v>
      </c>
      <c r="E45" t="s">
        <v>19</v>
      </c>
      <c r="F45" t="s">
        <v>1440</v>
      </c>
      <c r="H45" s="4" t="s">
        <v>91</v>
      </c>
      <c r="I45">
        <v>1</v>
      </c>
      <c r="J45">
        <v>1</v>
      </c>
      <c r="K45">
        <v>1</v>
      </c>
    </row>
    <row r="46" spans="1:11" x14ac:dyDescent="0.2">
      <c r="A46" t="s">
        <v>291</v>
      </c>
      <c r="B46" t="s">
        <v>300</v>
      </c>
      <c r="C46" t="s">
        <v>301</v>
      </c>
      <c r="D46" t="s">
        <v>302</v>
      </c>
      <c r="E46" t="s">
        <v>19</v>
      </c>
      <c r="F46" t="s">
        <v>1440</v>
      </c>
      <c r="H46" s="4" t="s">
        <v>55</v>
      </c>
      <c r="I46">
        <v>1</v>
      </c>
      <c r="J46">
        <v>1</v>
      </c>
      <c r="K46">
        <v>1</v>
      </c>
    </row>
    <row r="47" spans="1:11" x14ac:dyDescent="0.2">
      <c r="A47" t="s">
        <v>291</v>
      </c>
      <c r="B47" t="s">
        <v>306</v>
      </c>
      <c r="C47" t="s">
        <v>307</v>
      </c>
      <c r="D47" t="s">
        <v>308</v>
      </c>
      <c r="E47" t="s">
        <v>19</v>
      </c>
      <c r="F47" t="s">
        <v>1440</v>
      </c>
      <c r="H47" s="4" t="s">
        <v>91</v>
      </c>
      <c r="I47">
        <v>1</v>
      </c>
      <c r="J47">
        <v>0</v>
      </c>
      <c r="K47">
        <v>0</v>
      </c>
    </row>
    <row r="48" spans="1:11" x14ac:dyDescent="0.2">
      <c r="A48" t="s">
        <v>312</v>
      </c>
      <c r="B48" t="s">
        <v>306</v>
      </c>
      <c r="C48" t="s">
        <v>307</v>
      </c>
      <c r="D48" t="s">
        <v>308</v>
      </c>
      <c r="E48" t="s">
        <v>19</v>
      </c>
      <c r="F48" t="s">
        <v>1440</v>
      </c>
      <c r="H48" s="4" t="s">
        <v>91</v>
      </c>
      <c r="I48">
        <v>0</v>
      </c>
      <c r="J48">
        <v>0</v>
      </c>
      <c r="K48">
        <v>0</v>
      </c>
    </row>
    <row r="49" spans="1:11" x14ac:dyDescent="0.2">
      <c r="A49" t="s">
        <v>312</v>
      </c>
      <c r="B49" t="s">
        <v>300</v>
      </c>
      <c r="C49" t="s">
        <v>301</v>
      </c>
      <c r="D49" t="s">
        <v>302</v>
      </c>
      <c r="E49" t="s">
        <v>19</v>
      </c>
      <c r="F49" t="s">
        <v>1440</v>
      </c>
      <c r="H49" s="4" t="s">
        <v>55</v>
      </c>
      <c r="I49">
        <v>1</v>
      </c>
      <c r="J49">
        <v>1</v>
      </c>
      <c r="K49">
        <v>1</v>
      </c>
    </row>
    <row r="50" spans="1:11" x14ac:dyDescent="0.2">
      <c r="A50" t="s">
        <v>312</v>
      </c>
      <c r="B50" t="s">
        <v>292</v>
      </c>
      <c r="C50" t="s">
        <v>294</v>
      </c>
      <c r="D50" t="s">
        <v>295</v>
      </c>
      <c r="E50" t="s">
        <v>19</v>
      </c>
      <c r="F50" t="s">
        <v>1440</v>
      </c>
      <c r="H50" s="4" t="s">
        <v>91</v>
      </c>
      <c r="I50">
        <v>1</v>
      </c>
      <c r="J50">
        <v>1</v>
      </c>
      <c r="K50">
        <v>1</v>
      </c>
    </row>
    <row r="51" spans="1:11" x14ac:dyDescent="0.2">
      <c r="A51" t="s">
        <v>312</v>
      </c>
      <c r="B51" t="s">
        <v>319</v>
      </c>
      <c r="C51" t="s">
        <v>321</v>
      </c>
      <c r="D51" t="s">
        <v>322</v>
      </c>
      <c r="E51" t="s">
        <v>19</v>
      </c>
      <c r="F51" t="s">
        <v>1440</v>
      </c>
      <c r="H51" s="4" t="s">
        <v>128</v>
      </c>
      <c r="I51">
        <v>1</v>
      </c>
      <c r="J51">
        <v>1</v>
      </c>
      <c r="K51">
        <v>1</v>
      </c>
    </row>
    <row r="52" spans="1:11" x14ac:dyDescent="0.2">
      <c r="A52" t="s">
        <v>312</v>
      </c>
      <c r="B52" t="s">
        <v>326</v>
      </c>
      <c r="C52" t="s">
        <v>327</v>
      </c>
      <c r="D52" t="s">
        <v>328</v>
      </c>
      <c r="E52" t="s">
        <v>19</v>
      </c>
      <c r="F52" t="s">
        <v>1440</v>
      </c>
      <c r="H52" s="4" t="s">
        <v>220</v>
      </c>
      <c r="I52">
        <v>0</v>
      </c>
      <c r="J52">
        <v>0</v>
      </c>
      <c r="K52">
        <v>0</v>
      </c>
    </row>
    <row r="53" spans="1:11" x14ac:dyDescent="0.2">
      <c r="A53" t="s">
        <v>333</v>
      </c>
      <c r="B53" t="s">
        <v>300</v>
      </c>
      <c r="C53" t="s">
        <v>301</v>
      </c>
      <c r="D53" t="s">
        <v>302</v>
      </c>
      <c r="E53" t="s">
        <v>19</v>
      </c>
      <c r="F53" t="s">
        <v>1440</v>
      </c>
      <c r="H53" s="4" t="s">
        <v>55</v>
      </c>
      <c r="I53">
        <v>1</v>
      </c>
      <c r="J53">
        <v>1</v>
      </c>
      <c r="K53">
        <v>1</v>
      </c>
    </row>
    <row r="54" spans="1:11" x14ac:dyDescent="0.2">
      <c r="A54" t="s">
        <v>333</v>
      </c>
      <c r="B54" t="s">
        <v>306</v>
      </c>
      <c r="C54" t="s">
        <v>307</v>
      </c>
      <c r="D54" t="s">
        <v>308</v>
      </c>
      <c r="E54" t="s">
        <v>19</v>
      </c>
      <c r="F54" t="s">
        <v>1440</v>
      </c>
      <c r="H54" s="4" t="s">
        <v>91</v>
      </c>
      <c r="I54">
        <v>0</v>
      </c>
      <c r="J54">
        <v>0</v>
      </c>
      <c r="K54">
        <v>0</v>
      </c>
    </row>
    <row r="55" spans="1:11" x14ac:dyDescent="0.2">
      <c r="A55" t="s">
        <v>333</v>
      </c>
      <c r="B55" t="s">
        <v>292</v>
      </c>
      <c r="C55" t="s">
        <v>294</v>
      </c>
      <c r="D55" t="s">
        <v>295</v>
      </c>
      <c r="E55" t="s">
        <v>19</v>
      </c>
      <c r="F55" t="s">
        <v>1440</v>
      </c>
      <c r="H55" s="4" t="s">
        <v>91</v>
      </c>
      <c r="I55">
        <v>1</v>
      </c>
      <c r="J55">
        <v>1</v>
      </c>
      <c r="K55">
        <v>1</v>
      </c>
    </row>
    <row r="56" spans="1:11" x14ac:dyDescent="0.2">
      <c r="A56" t="s">
        <v>333</v>
      </c>
      <c r="B56" t="s">
        <v>326</v>
      </c>
      <c r="C56" t="s">
        <v>327</v>
      </c>
      <c r="D56" t="s">
        <v>328</v>
      </c>
      <c r="E56" t="s">
        <v>19</v>
      </c>
      <c r="F56" t="s">
        <v>1440</v>
      </c>
      <c r="H56" s="4" t="s">
        <v>220</v>
      </c>
      <c r="I56">
        <v>0</v>
      </c>
      <c r="J56">
        <v>0</v>
      </c>
      <c r="K56">
        <v>0</v>
      </c>
    </row>
    <row r="57" spans="1:11" x14ac:dyDescent="0.2">
      <c r="A57" t="s">
        <v>333</v>
      </c>
      <c r="B57" t="s">
        <v>319</v>
      </c>
      <c r="C57" t="s">
        <v>321</v>
      </c>
      <c r="D57" t="s">
        <v>322</v>
      </c>
      <c r="E57" t="s">
        <v>19</v>
      </c>
      <c r="F57" t="s">
        <v>1440</v>
      </c>
      <c r="H57" s="4" t="s">
        <v>128</v>
      </c>
      <c r="I57">
        <v>1</v>
      </c>
      <c r="J57">
        <v>1</v>
      </c>
      <c r="K57">
        <v>1</v>
      </c>
    </row>
    <row r="58" spans="1:11" x14ac:dyDescent="0.2">
      <c r="A58" t="s">
        <v>343</v>
      </c>
      <c r="B58" t="s">
        <v>300</v>
      </c>
      <c r="C58" t="s">
        <v>301</v>
      </c>
      <c r="D58" t="s">
        <v>302</v>
      </c>
      <c r="E58" t="s">
        <v>19</v>
      </c>
      <c r="F58" t="s">
        <v>1440</v>
      </c>
      <c r="H58" s="4" t="s">
        <v>55</v>
      </c>
      <c r="I58">
        <v>1</v>
      </c>
      <c r="J58">
        <v>1</v>
      </c>
      <c r="K58">
        <v>1</v>
      </c>
    </row>
    <row r="59" spans="1:11" x14ac:dyDescent="0.2">
      <c r="A59" t="s">
        <v>343</v>
      </c>
      <c r="B59" t="s">
        <v>292</v>
      </c>
      <c r="C59" t="s">
        <v>294</v>
      </c>
      <c r="D59" t="s">
        <v>295</v>
      </c>
      <c r="E59" t="s">
        <v>19</v>
      </c>
      <c r="F59" t="s">
        <v>1440</v>
      </c>
      <c r="H59" s="4" t="s">
        <v>91</v>
      </c>
      <c r="I59">
        <v>1</v>
      </c>
      <c r="J59">
        <v>1</v>
      </c>
      <c r="K59">
        <v>1</v>
      </c>
    </row>
    <row r="60" spans="1:11" x14ac:dyDescent="0.2">
      <c r="A60" t="s">
        <v>343</v>
      </c>
      <c r="B60" t="s">
        <v>326</v>
      </c>
      <c r="C60" t="s">
        <v>327</v>
      </c>
      <c r="D60" t="s">
        <v>328</v>
      </c>
      <c r="E60" t="s">
        <v>19</v>
      </c>
      <c r="F60" t="s">
        <v>1440</v>
      </c>
      <c r="H60" s="4" t="s">
        <v>220</v>
      </c>
      <c r="I60">
        <v>0</v>
      </c>
      <c r="J60">
        <v>0</v>
      </c>
      <c r="K60">
        <v>0</v>
      </c>
    </row>
    <row r="61" spans="1:11" x14ac:dyDescent="0.2">
      <c r="A61" t="s">
        <v>343</v>
      </c>
      <c r="B61" t="s">
        <v>319</v>
      </c>
      <c r="C61" t="s">
        <v>321</v>
      </c>
      <c r="D61" t="s">
        <v>322</v>
      </c>
      <c r="E61" t="s">
        <v>19</v>
      </c>
      <c r="F61" t="s">
        <v>1440</v>
      </c>
      <c r="H61" s="4" t="s">
        <v>128</v>
      </c>
      <c r="I61">
        <v>1</v>
      </c>
      <c r="J61">
        <v>1</v>
      </c>
      <c r="K61">
        <v>1</v>
      </c>
    </row>
    <row r="62" spans="1:11" x14ac:dyDescent="0.2">
      <c r="A62" t="s">
        <v>343</v>
      </c>
      <c r="B62" t="s">
        <v>306</v>
      </c>
      <c r="C62" t="s">
        <v>307</v>
      </c>
      <c r="D62" t="s">
        <v>308</v>
      </c>
      <c r="E62" t="s">
        <v>19</v>
      </c>
      <c r="F62" t="s">
        <v>1440</v>
      </c>
      <c r="H62" s="4" t="s">
        <v>91</v>
      </c>
      <c r="I62">
        <v>0</v>
      </c>
      <c r="J62">
        <v>0</v>
      </c>
      <c r="K62">
        <v>0</v>
      </c>
    </row>
    <row r="63" spans="1:11" x14ac:dyDescent="0.2">
      <c r="A63" t="s">
        <v>343</v>
      </c>
      <c r="B63" t="s">
        <v>30</v>
      </c>
      <c r="C63" t="s">
        <v>32</v>
      </c>
      <c r="D63" t="s">
        <v>33</v>
      </c>
      <c r="E63" t="s">
        <v>354</v>
      </c>
      <c r="F63" t="s">
        <v>354</v>
      </c>
      <c r="H63" s="4" t="s">
        <v>31</v>
      </c>
      <c r="I63">
        <v>0</v>
      </c>
      <c r="J63">
        <v>0</v>
      </c>
      <c r="K63">
        <v>0</v>
      </c>
    </row>
    <row r="64" spans="1:11" x14ac:dyDescent="0.2">
      <c r="A64" t="s">
        <v>343</v>
      </c>
      <c r="B64" t="s">
        <v>18</v>
      </c>
      <c r="C64" t="s">
        <v>22</v>
      </c>
      <c r="D64" t="s">
        <v>23</v>
      </c>
      <c r="E64" t="s">
        <v>354</v>
      </c>
      <c r="F64" t="s">
        <v>354</v>
      </c>
      <c r="H64" s="5" t="s">
        <v>21</v>
      </c>
      <c r="I64">
        <v>0</v>
      </c>
      <c r="J64">
        <v>0</v>
      </c>
      <c r="K64">
        <v>0</v>
      </c>
    </row>
    <row r="65" spans="1:11" x14ac:dyDescent="0.2">
      <c r="A65" t="s">
        <v>343</v>
      </c>
      <c r="B65" t="s">
        <v>36</v>
      </c>
      <c r="C65" t="s">
        <v>39</v>
      </c>
      <c r="D65" t="s">
        <v>40</v>
      </c>
      <c r="E65" t="s">
        <v>354</v>
      </c>
      <c r="F65" t="s">
        <v>354</v>
      </c>
      <c r="H65" s="4" t="s">
        <v>38</v>
      </c>
      <c r="I65">
        <v>0</v>
      </c>
      <c r="J65">
        <v>0</v>
      </c>
      <c r="K65">
        <v>0</v>
      </c>
    </row>
    <row r="66" spans="1:11" x14ac:dyDescent="0.2">
      <c r="A66" t="s">
        <v>359</v>
      </c>
      <c r="B66" t="s">
        <v>360</v>
      </c>
      <c r="C66" t="s">
        <v>360</v>
      </c>
      <c r="D66" t="s">
        <v>360</v>
      </c>
      <c r="E66" t="s">
        <v>360</v>
      </c>
      <c r="F66" t="s">
        <v>360</v>
      </c>
      <c r="H66" s="4" t="s">
        <v>360</v>
      </c>
      <c r="I66">
        <v>0</v>
      </c>
      <c r="J66">
        <v>0</v>
      </c>
      <c r="K66">
        <v>0</v>
      </c>
    </row>
    <row r="67" spans="1:11" x14ac:dyDescent="0.2">
      <c r="A67" t="s">
        <v>361</v>
      </c>
      <c r="B67" t="s">
        <v>360</v>
      </c>
      <c r="C67" t="s">
        <v>360</v>
      </c>
      <c r="D67" t="s">
        <v>360</v>
      </c>
      <c r="E67" t="s">
        <v>360</v>
      </c>
      <c r="F67" t="s">
        <v>360</v>
      </c>
      <c r="H67" s="4" t="s">
        <v>360</v>
      </c>
      <c r="I67">
        <v>0</v>
      </c>
      <c r="J67">
        <v>0</v>
      </c>
      <c r="K67">
        <v>0</v>
      </c>
    </row>
    <row r="68" spans="1:11" x14ac:dyDescent="0.2">
      <c r="A68" t="s">
        <v>362</v>
      </c>
      <c r="B68" t="s">
        <v>360</v>
      </c>
      <c r="C68" t="s">
        <v>360</v>
      </c>
      <c r="D68" t="s">
        <v>360</v>
      </c>
      <c r="E68" t="s">
        <v>360</v>
      </c>
      <c r="F68" t="s">
        <v>360</v>
      </c>
      <c r="H68" s="4" t="s">
        <v>360</v>
      </c>
      <c r="I68">
        <v>0</v>
      </c>
      <c r="J68">
        <v>0</v>
      </c>
      <c r="K68">
        <v>0</v>
      </c>
    </row>
    <row r="69" spans="1:11" x14ac:dyDescent="0.2">
      <c r="A69" t="s">
        <v>363</v>
      </c>
      <c r="B69" t="s">
        <v>149</v>
      </c>
      <c r="C69" t="s">
        <v>150</v>
      </c>
      <c r="D69" t="s">
        <v>151</v>
      </c>
      <c r="E69" t="s">
        <v>19</v>
      </c>
      <c r="F69" t="s">
        <v>1440</v>
      </c>
      <c r="H69" s="4" t="s">
        <v>21</v>
      </c>
      <c r="I69">
        <v>1</v>
      </c>
      <c r="J69">
        <v>1</v>
      </c>
      <c r="K69">
        <v>0</v>
      </c>
    </row>
    <row r="70" spans="1:11" x14ac:dyDescent="0.2">
      <c r="A70" t="s">
        <v>363</v>
      </c>
      <c r="B70" t="s">
        <v>368</v>
      </c>
      <c r="C70" t="s">
        <v>370</v>
      </c>
      <c r="D70" t="s">
        <v>371</v>
      </c>
      <c r="E70" t="s">
        <v>19</v>
      </c>
      <c r="F70" t="s">
        <v>1446</v>
      </c>
      <c r="H70" s="4" t="s">
        <v>220</v>
      </c>
      <c r="I70">
        <v>1</v>
      </c>
      <c r="J70">
        <v>1</v>
      </c>
      <c r="K70">
        <v>1</v>
      </c>
    </row>
    <row r="71" spans="1:11" x14ac:dyDescent="0.2">
      <c r="A71" t="s">
        <v>363</v>
      </c>
      <c r="B71" t="s">
        <v>375</v>
      </c>
      <c r="C71" t="s">
        <v>377</v>
      </c>
      <c r="D71" t="s">
        <v>378</v>
      </c>
      <c r="E71" t="s">
        <v>19</v>
      </c>
      <c r="F71" t="s">
        <v>1446</v>
      </c>
      <c r="H71" s="4" t="s">
        <v>220</v>
      </c>
      <c r="I71">
        <v>1</v>
      </c>
      <c r="J71">
        <v>1</v>
      </c>
      <c r="K71">
        <v>0</v>
      </c>
    </row>
    <row r="72" spans="1:11" x14ac:dyDescent="0.2">
      <c r="A72" t="s">
        <v>363</v>
      </c>
      <c r="B72" t="s">
        <v>382</v>
      </c>
      <c r="C72" t="s">
        <v>384</v>
      </c>
      <c r="D72" t="s">
        <v>385</v>
      </c>
      <c r="E72" t="s">
        <v>19</v>
      </c>
      <c r="F72" t="s">
        <v>1437</v>
      </c>
      <c r="H72" s="4" t="s">
        <v>21</v>
      </c>
      <c r="I72">
        <v>1</v>
      </c>
      <c r="J72">
        <v>1</v>
      </c>
      <c r="K72">
        <v>1</v>
      </c>
    </row>
    <row r="73" spans="1:11" x14ac:dyDescent="0.2">
      <c r="A73" t="s">
        <v>363</v>
      </c>
      <c r="B73" t="s">
        <v>389</v>
      </c>
      <c r="C73" t="s">
        <v>390</v>
      </c>
      <c r="D73" t="s">
        <v>391</v>
      </c>
      <c r="E73" t="s">
        <v>19</v>
      </c>
      <c r="F73" t="s">
        <v>1437</v>
      </c>
      <c r="H73" s="4" t="s">
        <v>220</v>
      </c>
      <c r="I73">
        <v>1</v>
      </c>
      <c r="J73">
        <v>1</v>
      </c>
      <c r="K73">
        <v>0</v>
      </c>
    </row>
    <row r="74" spans="1:11" x14ac:dyDescent="0.2">
      <c r="A74" t="s">
        <v>363</v>
      </c>
      <c r="B74" t="s">
        <v>394</v>
      </c>
      <c r="C74" t="s">
        <v>395</v>
      </c>
      <c r="D74" t="s">
        <v>396</v>
      </c>
      <c r="E74" t="s">
        <v>19</v>
      </c>
      <c r="F74" t="s">
        <v>1437</v>
      </c>
      <c r="H74" s="4" t="s">
        <v>220</v>
      </c>
      <c r="I74">
        <v>0</v>
      </c>
      <c r="J74">
        <v>0</v>
      </c>
      <c r="K74">
        <v>0</v>
      </c>
    </row>
    <row r="75" spans="1:11" x14ac:dyDescent="0.2">
      <c r="A75" t="s">
        <v>363</v>
      </c>
      <c r="B75" t="s">
        <v>400</v>
      </c>
      <c r="C75" t="s">
        <v>401</v>
      </c>
      <c r="D75" t="s">
        <v>402</v>
      </c>
      <c r="E75" t="s">
        <v>19</v>
      </c>
      <c r="F75" t="s">
        <v>1437</v>
      </c>
      <c r="H75" s="4" t="s">
        <v>220</v>
      </c>
      <c r="I75">
        <v>1</v>
      </c>
      <c r="J75">
        <v>0</v>
      </c>
      <c r="K75">
        <v>1</v>
      </c>
    </row>
    <row r="76" spans="1:11" x14ac:dyDescent="0.2">
      <c r="A76" t="s">
        <v>363</v>
      </c>
      <c r="B76" t="s">
        <v>405</v>
      </c>
      <c r="C76" t="s">
        <v>406</v>
      </c>
      <c r="D76" t="s">
        <v>407</v>
      </c>
      <c r="E76" t="s">
        <v>19</v>
      </c>
      <c r="F76" t="s">
        <v>1437</v>
      </c>
      <c r="H76" s="4" t="s">
        <v>220</v>
      </c>
      <c r="I76">
        <v>1</v>
      </c>
      <c r="J76">
        <v>0</v>
      </c>
      <c r="K76">
        <v>1</v>
      </c>
    </row>
    <row r="77" spans="1:11" x14ac:dyDescent="0.2">
      <c r="A77" t="s">
        <v>363</v>
      </c>
      <c r="B77" t="s">
        <v>30</v>
      </c>
      <c r="C77" t="s">
        <v>32</v>
      </c>
      <c r="D77" t="s">
        <v>33</v>
      </c>
      <c r="E77" t="s">
        <v>19</v>
      </c>
      <c r="F77" t="s">
        <v>1437</v>
      </c>
      <c r="H77" s="4" t="s">
        <v>31</v>
      </c>
      <c r="I77">
        <v>1</v>
      </c>
      <c r="J77">
        <v>1</v>
      </c>
      <c r="K77">
        <v>0</v>
      </c>
    </row>
    <row r="78" spans="1:11" x14ac:dyDescent="0.2">
      <c r="A78" t="s">
        <v>363</v>
      </c>
      <c r="B78" t="s">
        <v>18</v>
      </c>
      <c r="C78" t="s">
        <v>22</v>
      </c>
      <c r="D78" t="s">
        <v>23</v>
      </c>
      <c r="E78" t="s">
        <v>19</v>
      </c>
      <c r="F78" t="s">
        <v>1437</v>
      </c>
      <c r="H78" s="5" t="s">
        <v>21</v>
      </c>
      <c r="I78">
        <v>0</v>
      </c>
      <c r="J78">
        <v>0</v>
      </c>
      <c r="K78">
        <v>0</v>
      </c>
    </row>
    <row r="79" spans="1:11" x14ac:dyDescent="0.2">
      <c r="A79" t="s">
        <v>363</v>
      </c>
      <c r="B79" t="s">
        <v>414</v>
      </c>
      <c r="C79" t="s">
        <v>416</v>
      </c>
      <c r="D79" t="s">
        <v>417</v>
      </c>
      <c r="E79" t="s">
        <v>44</v>
      </c>
      <c r="F79" t="s">
        <v>1447</v>
      </c>
      <c r="H79" s="4" t="s">
        <v>21</v>
      </c>
      <c r="I79">
        <v>1</v>
      </c>
      <c r="J79">
        <v>1</v>
      </c>
      <c r="K79">
        <v>0</v>
      </c>
    </row>
    <row r="80" spans="1:11" x14ac:dyDescent="0.2">
      <c r="A80" t="s">
        <v>363</v>
      </c>
      <c r="B80" t="s">
        <v>420</v>
      </c>
      <c r="C80" t="s">
        <v>421</v>
      </c>
      <c r="D80" t="s">
        <v>422</v>
      </c>
      <c r="E80" t="s">
        <v>44</v>
      </c>
      <c r="F80" t="s">
        <v>1447</v>
      </c>
      <c r="H80" s="4" t="s">
        <v>113</v>
      </c>
      <c r="I80">
        <v>1</v>
      </c>
      <c r="J80">
        <v>1</v>
      </c>
      <c r="K80">
        <v>0</v>
      </c>
    </row>
    <row r="81" spans="1:11" x14ac:dyDescent="0.2">
      <c r="A81" t="s">
        <v>363</v>
      </c>
      <c r="B81" t="s">
        <v>425</v>
      </c>
      <c r="C81" t="s">
        <v>427</v>
      </c>
      <c r="D81" t="s">
        <v>428</v>
      </c>
      <c r="E81" t="s">
        <v>44</v>
      </c>
      <c r="F81" t="s">
        <v>1447</v>
      </c>
      <c r="H81" s="4" t="s">
        <v>206</v>
      </c>
      <c r="I81">
        <v>1</v>
      </c>
      <c r="J81">
        <v>1</v>
      </c>
      <c r="K81">
        <v>0</v>
      </c>
    </row>
    <row r="82" spans="1:11" x14ac:dyDescent="0.2">
      <c r="A82" t="s">
        <v>363</v>
      </c>
      <c r="B82" t="s">
        <v>431</v>
      </c>
      <c r="C82" t="s">
        <v>433</v>
      </c>
      <c r="D82" t="s">
        <v>434</v>
      </c>
      <c r="E82" t="s">
        <v>44</v>
      </c>
      <c r="F82" t="s">
        <v>1447</v>
      </c>
      <c r="H82" s="4" t="s">
        <v>21</v>
      </c>
      <c r="I82">
        <v>1</v>
      </c>
      <c r="J82">
        <v>1</v>
      </c>
      <c r="K82">
        <v>0</v>
      </c>
    </row>
    <row r="83" spans="1:11" x14ac:dyDescent="0.2">
      <c r="A83" t="s">
        <v>363</v>
      </c>
      <c r="B83" t="s">
        <v>437</v>
      </c>
      <c r="C83" t="s">
        <v>439</v>
      </c>
      <c r="D83" t="s">
        <v>440</v>
      </c>
      <c r="E83" t="s">
        <v>354</v>
      </c>
      <c r="F83" t="s">
        <v>354</v>
      </c>
      <c r="H83" s="4" t="s">
        <v>55</v>
      </c>
      <c r="I83">
        <v>0</v>
      </c>
      <c r="J83">
        <v>1</v>
      </c>
      <c r="K83">
        <v>0</v>
      </c>
    </row>
    <row r="84" spans="1:11" x14ac:dyDescent="0.2">
      <c r="A84" t="s">
        <v>443</v>
      </c>
      <c r="B84" t="s">
        <v>444</v>
      </c>
      <c r="C84" t="s">
        <v>446</v>
      </c>
      <c r="D84" t="s">
        <v>447</v>
      </c>
      <c r="E84" t="s">
        <v>19</v>
      </c>
      <c r="F84" t="s">
        <v>1443</v>
      </c>
      <c r="H84" s="4" t="s">
        <v>55</v>
      </c>
      <c r="I84">
        <v>1</v>
      </c>
      <c r="J84">
        <v>0</v>
      </c>
      <c r="K84">
        <v>0</v>
      </c>
    </row>
    <row r="85" spans="1:11" x14ac:dyDescent="0.2">
      <c r="A85" t="s">
        <v>443</v>
      </c>
      <c r="B85" t="s">
        <v>452</v>
      </c>
      <c r="C85" t="s">
        <v>453</v>
      </c>
      <c r="D85" t="s">
        <v>454</v>
      </c>
      <c r="E85" t="s">
        <v>19</v>
      </c>
      <c r="F85" t="s">
        <v>1443</v>
      </c>
      <c r="H85" s="4" t="s">
        <v>55</v>
      </c>
      <c r="I85">
        <v>1</v>
      </c>
      <c r="J85">
        <v>0</v>
      </c>
      <c r="K85">
        <v>0</v>
      </c>
    </row>
    <row r="86" spans="1:11" x14ac:dyDescent="0.2">
      <c r="A86" t="s">
        <v>443</v>
      </c>
      <c r="B86" t="s">
        <v>457</v>
      </c>
      <c r="C86" t="s">
        <v>458</v>
      </c>
      <c r="D86" t="s">
        <v>459</v>
      </c>
      <c r="E86" t="s">
        <v>19</v>
      </c>
      <c r="F86" t="s">
        <v>1443</v>
      </c>
      <c r="H86" s="4" t="s">
        <v>113</v>
      </c>
      <c r="I86">
        <v>1</v>
      </c>
      <c r="J86">
        <v>0</v>
      </c>
      <c r="K86">
        <v>0</v>
      </c>
    </row>
    <row r="87" spans="1:11" x14ac:dyDescent="0.2">
      <c r="A87" t="s">
        <v>443</v>
      </c>
      <c r="B87" t="s">
        <v>463</v>
      </c>
      <c r="C87" t="s">
        <v>464</v>
      </c>
      <c r="D87" t="s">
        <v>465</v>
      </c>
      <c r="E87" t="s">
        <v>44</v>
      </c>
      <c r="F87" t="s">
        <v>1443</v>
      </c>
      <c r="H87" s="4" t="s">
        <v>113</v>
      </c>
      <c r="I87">
        <v>1</v>
      </c>
      <c r="J87">
        <v>1</v>
      </c>
      <c r="K87">
        <v>0</v>
      </c>
    </row>
    <row r="88" spans="1:11" x14ac:dyDescent="0.2">
      <c r="A88" t="s">
        <v>443</v>
      </c>
      <c r="B88" t="s">
        <v>212</v>
      </c>
      <c r="C88" t="s">
        <v>207</v>
      </c>
      <c r="D88" t="s">
        <v>208</v>
      </c>
      <c r="E88" t="s">
        <v>19</v>
      </c>
      <c r="F88" t="s">
        <v>1443</v>
      </c>
      <c r="H88" s="4" t="s">
        <v>214</v>
      </c>
      <c r="I88">
        <v>1</v>
      </c>
      <c r="J88">
        <v>0</v>
      </c>
      <c r="K88">
        <v>0</v>
      </c>
    </row>
    <row r="89" spans="1:11" x14ac:dyDescent="0.2">
      <c r="A89" t="s">
        <v>470</v>
      </c>
      <c r="B89" t="s">
        <v>471</v>
      </c>
      <c r="C89" t="s">
        <v>473</v>
      </c>
      <c r="D89" t="s">
        <v>474</v>
      </c>
      <c r="E89" t="s">
        <v>19</v>
      </c>
      <c r="F89" t="s">
        <v>1443</v>
      </c>
      <c r="H89" s="4" t="s">
        <v>214</v>
      </c>
      <c r="I89">
        <v>1</v>
      </c>
      <c r="J89">
        <v>1</v>
      </c>
      <c r="K89">
        <v>1</v>
      </c>
    </row>
    <row r="90" spans="1:11" x14ac:dyDescent="0.2">
      <c r="A90" t="s">
        <v>470</v>
      </c>
      <c r="B90" t="s">
        <v>478</v>
      </c>
      <c r="C90" t="s">
        <v>207</v>
      </c>
      <c r="D90" t="s">
        <v>208</v>
      </c>
      <c r="E90" t="s">
        <v>19</v>
      </c>
      <c r="F90" t="s">
        <v>1443</v>
      </c>
      <c r="H90" s="4" t="s">
        <v>214</v>
      </c>
      <c r="I90">
        <v>1</v>
      </c>
      <c r="J90">
        <v>1</v>
      </c>
      <c r="K90">
        <v>1</v>
      </c>
    </row>
    <row r="91" spans="1:11" x14ac:dyDescent="0.2">
      <c r="A91" t="s">
        <v>470</v>
      </c>
      <c r="B91" t="s">
        <v>481</v>
      </c>
      <c r="C91" t="s">
        <v>482</v>
      </c>
      <c r="D91" t="s">
        <v>483</v>
      </c>
      <c r="E91" t="s">
        <v>19</v>
      </c>
      <c r="F91" t="s">
        <v>1443</v>
      </c>
      <c r="H91" s="4" t="s">
        <v>214</v>
      </c>
      <c r="I91">
        <v>1</v>
      </c>
      <c r="J91">
        <v>1</v>
      </c>
      <c r="K91">
        <v>0</v>
      </c>
    </row>
    <row r="92" spans="1:11" x14ac:dyDescent="0.2">
      <c r="A92" t="s">
        <v>486</v>
      </c>
      <c r="B92" t="s">
        <v>326</v>
      </c>
      <c r="C92" t="s">
        <v>327</v>
      </c>
      <c r="D92" t="s">
        <v>328</v>
      </c>
      <c r="E92" t="s">
        <v>19</v>
      </c>
      <c r="F92" t="s">
        <v>1440</v>
      </c>
      <c r="H92" s="4" t="s">
        <v>220</v>
      </c>
      <c r="I92">
        <v>1</v>
      </c>
      <c r="J92">
        <v>1</v>
      </c>
      <c r="K92">
        <v>0</v>
      </c>
    </row>
    <row r="93" spans="1:11" x14ac:dyDescent="0.2">
      <c r="A93" t="s">
        <v>486</v>
      </c>
      <c r="B93" t="s">
        <v>149</v>
      </c>
      <c r="C93" t="s">
        <v>150</v>
      </c>
      <c r="D93" t="s">
        <v>151</v>
      </c>
      <c r="E93" t="s">
        <v>44</v>
      </c>
      <c r="F93" t="s">
        <v>1439</v>
      </c>
      <c r="H93" s="4" t="s">
        <v>21</v>
      </c>
      <c r="I93">
        <v>1</v>
      </c>
      <c r="J93">
        <v>1</v>
      </c>
      <c r="K93">
        <v>0</v>
      </c>
    </row>
    <row r="94" spans="1:11" x14ac:dyDescent="0.2">
      <c r="A94" t="s">
        <v>486</v>
      </c>
      <c r="B94" t="s">
        <v>492</v>
      </c>
      <c r="C94" t="s">
        <v>494</v>
      </c>
      <c r="D94" t="s">
        <v>495</v>
      </c>
      <c r="E94" t="s">
        <v>44</v>
      </c>
      <c r="F94" t="s">
        <v>1443</v>
      </c>
      <c r="H94" s="4" t="s">
        <v>220</v>
      </c>
      <c r="I94">
        <v>1</v>
      </c>
      <c r="J94">
        <v>1</v>
      </c>
      <c r="K94">
        <v>0</v>
      </c>
    </row>
    <row r="95" spans="1:11" x14ac:dyDescent="0.2">
      <c r="A95" t="s">
        <v>486</v>
      </c>
      <c r="B95" t="s">
        <v>499</v>
      </c>
      <c r="C95" t="s">
        <v>501</v>
      </c>
      <c r="D95" t="s">
        <v>502</v>
      </c>
      <c r="E95" t="s">
        <v>19</v>
      </c>
      <c r="F95" t="s">
        <v>1437</v>
      </c>
      <c r="H95" s="4" t="s">
        <v>113</v>
      </c>
      <c r="I95">
        <v>1</v>
      </c>
      <c r="J95">
        <v>0</v>
      </c>
      <c r="K95">
        <v>0</v>
      </c>
    </row>
    <row r="96" spans="1:11" x14ac:dyDescent="0.2">
      <c r="A96" t="s">
        <v>486</v>
      </c>
      <c r="B96" t="s">
        <v>292</v>
      </c>
      <c r="C96" t="s">
        <v>294</v>
      </c>
      <c r="D96" t="s">
        <v>295</v>
      </c>
      <c r="E96" t="s">
        <v>19</v>
      </c>
      <c r="F96" t="s">
        <v>1440</v>
      </c>
      <c r="H96" s="4" t="s">
        <v>91</v>
      </c>
      <c r="I96">
        <v>1</v>
      </c>
      <c r="J96">
        <v>1</v>
      </c>
      <c r="K96">
        <v>0</v>
      </c>
    </row>
    <row r="97" spans="1:11" x14ac:dyDescent="0.2">
      <c r="A97" t="s">
        <v>486</v>
      </c>
      <c r="B97" t="s">
        <v>300</v>
      </c>
      <c r="C97" t="s">
        <v>301</v>
      </c>
      <c r="D97" t="s">
        <v>302</v>
      </c>
      <c r="E97" t="s">
        <v>19</v>
      </c>
      <c r="F97" t="s">
        <v>1440</v>
      </c>
      <c r="H97" s="4" t="s">
        <v>55</v>
      </c>
      <c r="I97">
        <v>1</v>
      </c>
      <c r="J97">
        <v>1</v>
      </c>
      <c r="K97">
        <v>1</v>
      </c>
    </row>
    <row r="98" spans="1:11" x14ac:dyDescent="0.2">
      <c r="A98" t="s">
        <v>486</v>
      </c>
      <c r="B98" t="s">
        <v>306</v>
      </c>
      <c r="C98" t="s">
        <v>307</v>
      </c>
      <c r="D98" t="s">
        <v>308</v>
      </c>
      <c r="E98" t="s">
        <v>19</v>
      </c>
      <c r="F98" t="s">
        <v>1440</v>
      </c>
      <c r="H98" s="4" t="s">
        <v>91</v>
      </c>
      <c r="I98">
        <v>1</v>
      </c>
      <c r="J98">
        <v>1</v>
      </c>
      <c r="K98">
        <v>0</v>
      </c>
    </row>
    <row r="99" spans="1:11" x14ac:dyDescent="0.2">
      <c r="A99" t="s">
        <v>486</v>
      </c>
      <c r="B99" t="s">
        <v>319</v>
      </c>
      <c r="C99" t="s">
        <v>321</v>
      </c>
      <c r="D99" t="s">
        <v>322</v>
      </c>
      <c r="E99" t="s">
        <v>19</v>
      </c>
      <c r="F99" t="s">
        <v>1440</v>
      </c>
      <c r="H99" s="4" t="s">
        <v>128</v>
      </c>
      <c r="I99">
        <v>1</v>
      </c>
      <c r="J99">
        <v>1</v>
      </c>
      <c r="K99">
        <v>0</v>
      </c>
    </row>
    <row r="100" spans="1:11" x14ac:dyDescent="0.2">
      <c r="A100" t="s">
        <v>486</v>
      </c>
      <c r="B100" t="s">
        <v>237</v>
      </c>
      <c r="C100" t="s">
        <v>238</v>
      </c>
      <c r="D100" t="s">
        <v>239</v>
      </c>
      <c r="E100" t="s">
        <v>19</v>
      </c>
      <c r="F100" t="s">
        <v>1439</v>
      </c>
      <c r="H100" s="4" t="s">
        <v>113</v>
      </c>
      <c r="I100">
        <v>1</v>
      </c>
      <c r="J100">
        <v>1</v>
      </c>
      <c r="K100">
        <v>0</v>
      </c>
    </row>
    <row r="101" spans="1:11" x14ac:dyDescent="0.2">
      <c r="A101" t="s">
        <v>515</v>
      </c>
      <c r="B101" t="s">
        <v>516</v>
      </c>
      <c r="C101" t="s">
        <v>517</v>
      </c>
      <c r="D101" t="s">
        <v>518</v>
      </c>
      <c r="E101" t="s">
        <v>44</v>
      </c>
      <c r="F101" t="s">
        <v>1439</v>
      </c>
      <c r="H101" s="4" t="s">
        <v>113</v>
      </c>
      <c r="I101">
        <v>1</v>
      </c>
      <c r="J101">
        <v>1</v>
      </c>
      <c r="K101">
        <v>0</v>
      </c>
    </row>
    <row r="102" spans="1:11" x14ac:dyDescent="0.2">
      <c r="A102" t="s">
        <v>515</v>
      </c>
      <c r="B102" t="s">
        <v>326</v>
      </c>
      <c r="C102" t="s">
        <v>327</v>
      </c>
      <c r="D102" t="s">
        <v>328</v>
      </c>
      <c r="E102" t="s">
        <v>19</v>
      </c>
      <c r="F102" t="s">
        <v>1440</v>
      </c>
      <c r="H102" s="4" t="s">
        <v>220</v>
      </c>
      <c r="I102">
        <v>1</v>
      </c>
      <c r="J102">
        <v>1</v>
      </c>
      <c r="K102">
        <v>0</v>
      </c>
    </row>
    <row r="103" spans="1:11" x14ac:dyDescent="0.2">
      <c r="A103" t="s">
        <v>524</v>
      </c>
      <c r="B103" t="s">
        <v>319</v>
      </c>
      <c r="C103" t="s">
        <v>321</v>
      </c>
      <c r="D103" t="s">
        <v>322</v>
      </c>
      <c r="E103" t="s">
        <v>19</v>
      </c>
      <c r="F103" t="s">
        <v>1440</v>
      </c>
      <c r="H103" s="4" t="s">
        <v>128</v>
      </c>
      <c r="I103">
        <v>1</v>
      </c>
      <c r="J103">
        <v>1</v>
      </c>
      <c r="K103">
        <v>0</v>
      </c>
    </row>
    <row r="104" spans="1:11" x14ac:dyDescent="0.2">
      <c r="A104" t="s">
        <v>524</v>
      </c>
      <c r="B104" t="s">
        <v>516</v>
      </c>
      <c r="C104" t="s">
        <v>517</v>
      </c>
      <c r="D104" t="s">
        <v>518</v>
      </c>
      <c r="E104" t="s">
        <v>44</v>
      </c>
      <c r="F104" t="s">
        <v>1439</v>
      </c>
      <c r="H104" s="4" t="s">
        <v>113</v>
      </c>
      <c r="I104">
        <v>0</v>
      </c>
      <c r="J104">
        <v>0</v>
      </c>
      <c r="K104">
        <v>0</v>
      </c>
    </row>
    <row r="105" spans="1:11" x14ac:dyDescent="0.2">
      <c r="A105" t="s">
        <v>524</v>
      </c>
      <c r="B105" t="s">
        <v>326</v>
      </c>
      <c r="C105" t="s">
        <v>327</v>
      </c>
      <c r="D105" t="s">
        <v>328</v>
      </c>
      <c r="E105" t="s">
        <v>19</v>
      </c>
      <c r="F105" t="s">
        <v>1440</v>
      </c>
      <c r="H105" s="4" t="s">
        <v>220</v>
      </c>
      <c r="I105">
        <v>0</v>
      </c>
      <c r="J105">
        <v>0</v>
      </c>
      <c r="K105">
        <v>0</v>
      </c>
    </row>
    <row r="106" spans="1:11" x14ac:dyDescent="0.2">
      <c r="A106" t="s">
        <v>531</v>
      </c>
      <c r="B106" t="s">
        <v>516</v>
      </c>
      <c r="C106" t="s">
        <v>517</v>
      </c>
      <c r="D106" t="s">
        <v>518</v>
      </c>
      <c r="E106" t="s">
        <v>44</v>
      </c>
      <c r="F106" t="s">
        <v>1439</v>
      </c>
      <c r="H106" s="4" t="s">
        <v>113</v>
      </c>
      <c r="I106">
        <v>1</v>
      </c>
      <c r="J106">
        <v>1</v>
      </c>
      <c r="K106">
        <v>0</v>
      </c>
    </row>
    <row r="107" spans="1:11" x14ac:dyDescent="0.2">
      <c r="A107" t="s">
        <v>531</v>
      </c>
      <c r="B107" t="s">
        <v>292</v>
      </c>
      <c r="C107" t="s">
        <v>294</v>
      </c>
      <c r="D107" t="s">
        <v>295</v>
      </c>
      <c r="E107" t="s">
        <v>19</v>
      </c>
      <c r="F107" t="s">
        <v>1440</v>
      </c>
      <c r="H107" s="4" t="s">
        <v>91</v>
      </c>
      <c r="I107">
        <v>1</v>
      </c>
      <c r="J107">
        <v>1</v>
      </c>
      <c r="K107">
        <v>0</v>
      </c>
    </row>
    <row r="108" spans="1:11" x14ac:dyDescent="0.2">
      <c r="A108" t="s">
        <v>536</v>
      </c>
      <c r="B108" t="s">
        <v>516</v>
      </c>
      <c r="C108" t="s">
        <v>517</v>
      </c>
      <c r="D108" t="s">
        <v>518</v>
      </c>
      <c r="E108" t="s">
        <v>44</v>
      </c>
      <c r="F108" t="s">
        <v>1439</v>
      </c>
      <c r="H108" s="4" t="s">
        <v>113</v>
      </c>
      <c r="I108">
        <v>0</v>
      </c>
      <c r="J108">
        <v>0</v>
      </c>
      <c r="K108">
        <v>0</v>
      </c>
    </row>
    <row r="109" spans="1:11" x14ac:dyDescent="0.2">
      <c r="A109" t="s">
        <v>539</v>
      </c>
      <c r="B109" t="s">
        <v>516</v>
      </c>
      <c r="C109" t="s">
        <v>517</v>
      </c>
      <c r="D109" t="s">
        <v>518</v>
      </c>
      <c r="E109" t="s">
        <v>44</v>
      </c>
      <c r="F109" t="s">
        <v>1439</v>
      </c>
      <c r="H109" s="4" t="s">
        <v>113</v>
      </c>
      <c r="I109">
        <v>1</v>
      </c>
      <c r="J109">
        <v>1</v>
      </c>
      <c r="K109">
        <v>0</v>
      </c>
    </row>
    <row r="110" spans="1:11" x14ac:dyDescent="0.2">
      <c r="A110" t="s">
        <v>542</v>
      </c>
      <c r="B110" t="s">
        <v>516</v>
      </c>
      <c r="C110" t="s">
        <v>517</v>
      </c>
      <c r="D110" t="s">
        <v>518</v>
      </c>
      <c r="E110" t="s">
        <v>44</v>
      </c>
      <c r="F110" t="s">
        <v>1439</v>
      </c>
      <c r="H110" s="4" t="s">
        <v>113</v>
      </c>
      <c r="I110">
        <v>0</v>
      </c>
      <c r="J110">
        <v>0</v>
      </c>
      <c r="K110">
        <v>0</v>
      </c>
    </row>
    <row r="111" spans="1:11" x14ac:dyDescent="0.2">
      <c r="A111" t="s">
        <v>545</v>
      </c>
      <c r="B111" t="s">
        <v>149</v>
      </c>
      <c r="C111" t="s">
        <v>150</v>
      </c>
      <c r="D111" t="s">
        <v>151</v>
      </c>
      <c r="E111" t="s">
        <v>44</v>
      </c>
      <c r="F111" t="s">
        <v>1439</v>
      </c>
      <c r="H111" s="4" t="s">
        <v>21</v>
      </c>
      <c r="I111">
        <v>1</v>
      </c>
      <c r="J111">
        <v>1</v>
      </c>
      <c r="K111">
        <v>0</v>
      </c>
    </row>
    <row r="112" spans="1:11" x14ac:dyDescent="0.2">
      <c r="A112" t="s">
        <v>545</v>
      </c>
      <c r="B112" t="s">
        <v>516</v>
      </c>
      <c r="C112" t="s">
        <v>517</v>
      </c>
      <c r="D112" t="s">
        <v>518</v>
      </c>
      <c r="E112" t="s">
        <v>44</v>
      </c>
      <c r="F112" t="s">
        <v>1439</v>
      </c>
      <c r="H112" s="4" t="s">
        <v>113</v>
      </c>
      <c r="I112">
        <v>1</v>
      </c>
      <c r="J112">
        <v>0</v>
      </c>
      <c r="K112">
        <v>1</v>
      </c>
    </row>
    <row r="113" spans="1:11" x14ac:dyDescent="0.2">
      <c r="A113" t="s">
        <v>550</v>
      </c>
      <c r="B113" t="s">
        <v>149</v>
      </c>
      <c r="C113" t="s">
        <v>150</v>
      </c>
      <c r="D113" t="s">
        <v>151</v>
      </c>
      <c r="E113" t="s">
        <v>44</v>
      </c>
      <c r="F113" t="s">
        <v>1439</v>
      </c>
      <c r="H113" s="4" t="s">
        <v>21</v>
      </c>
      <c r="I113">
        <v>0</v>
      </c>
      <c r="J113">
        <v>0</v>
      </c>
      <c r="K113">
        <v>0</v>
      </c>
    </row>
    <row r="114" spans="1:11" x14ac:dyDescent="0.2">
      <c r="A114" t="s">
        <v>550</v>
      </c>
      <c r="B114" t="s">
        <v>516</v>
      </c>
      <c r="C114" t="s">
        <v>517</v>
      </c>
      <c r="D114" t="s">
        <v>518</v>
      </c>
      <c r="E114" t="s">
        <v>44</v>
      </c>
      <c r="F114" t="s">
        <v>1439</v>
      </c>
      <c r="H114" s="4" t="s">
        <v>113</v>
      </c>
      <c r="I114">
        <v>1</v>
      </c>
      <c r="J114">
        <v>1</v>
      </c>
      <c r="K114">
        <v>0</v>
      </c>
    </row>
    <row r="115" spans="1:11" x14ac:dyDescent="0.2">
      <c r="A115" t="s">
        <v>555</v>
      </c>
      <c r="B115" t="s">
        <v>556</v>
      </c>
      <c r="C115" t="s">
        <v>558</v>
      </c>
      <c r="D115" t="s">
        <v>559</v>
      </c>
      <c r="E115" t="s">
        <v>44</v>
      </c>
      <c r="F115" t="s">
        <v>1444</v>
      </c>
      <c r="H115" s="4" t="s">
        <v>113</v>
      </c>
      <c r="I115">
        <v>1</v>
      </c>
      <c r="J115">
        <v>1</v>
      </c>
      <c r="K115">
        <v>0</v>
      </c>
    </row>
    <row r="116" spans="1:11" x14ac:dyDescent="0.2">
      <c r="A116" t="s">
        <v>555</v>
      </c>
      <c r="B116" t="s">
        <v>564</v>
      </c>
      <c r="C116" t="s">
        <v>565</v>
      </c>
      <c r="D116" t="s">
        <v>566</v>
      </c>
      <c r="E116" t="s">
        <v>44</v>
      </c>
      <c r="F116" t="s">
        <v>1444</v>
      </c>
      <c r="H116" s="4" t="s">
        <v>113</v>
      </c>
      <c r="I116">
        <v>1</v>
      </c>
      <c r="J116">
        <v>1</v>
      </c>
      <c r="K116">
        <v>0</v>
      </c>
    </row>
    <row r="117" spans="1:11" x14ac:dyDescent="0.2">
      <c r="A117" t="s">
        <v>555</v>
      </c>
      <c r="B117" t="s">
        <v>569</v>
      </c>
      <c r="C117" t="s">
        <v>570</v>
      </c>
      <c r="D117" t="s">
        <v>571</v>
      </c>
      <c r="E117" t="s">
        <v>44</v>
      </c>
      <c r="F117" t="s">
        <v>1444</v>
      </c>
      <c r="H117" s="4" t="s">
        <v>113</v>
      </c>
      <c r="I117">
        <v>1</v>
      </c>
      <c r="J117">
        <v>1</v>
      </c>
      <c r="K117">
        <v>0</v>
      </c>
    </row>
    <row r="118" spans="1:11" x14ac:dyDescent="0.2">
      <c r="A118" t="s">
        <v>555</v>
      </c>
      <c r="B118" t="s">
        <v>574</v>
      </c>
      <c r="C118" t="s">
        <v>576</v>
      </c>
      <c r="D118" t="s">
        <v>577</v>
      </c>
      <c r="E118" t="s">
        <v>44</v>
      </c>
      <c r="F118" t="s">
        <v>1444</v>
      </c>
      <c r="H118" s="4" t="s">
        <v>220</v>
      </c>
      <c r="I118">
        <v>1</v>
      </c>
      <c r="J118">
        <v>1</v>
      </c>
      <c r="K118">
        <v>1</v>
      </c>
    </row>
    <row r="119" spans="1:11" x14ac:dyDescent="0.2">
      <c r="A119" t="s">
        <v>555</v>
      </c>
      <c r="B119" t="s">
        <v>581</v>
      </c>
      <c r="C119" t="s">
        <v>582</v>
      </c>
      <c r="D119" t="s">
        <v>583</v>
      </c>
      <c r="E119" t="s">
        <v>44</v>
      </c>
      <c r="F119" t="s">
        <v>1444</v>
      </c>
      <c r="H119" s="4" t="s">
        <v>220</v>
      </c>
      <c r="I119">
        <v>1</v>
      </c>
      <c r="J119">
        <v>0</v>
      </c>
      <c r="K119">
        <v>0</v>
      </c>
    </row>
    <row r="120" spans="1:11" x14ac:dyDescent="0.2">
      <c r="A120" t="s">
        <v>555</v>
      </c>
      <c r="B120" t="s">
        <v>586</v>
      </c>
      <c r="C120" t="s">
        <v>587</v>
      </c>
      <c r="D120" t="s">
        <v>588</v>
      </c>
      <c r="E120" t="s">
        <v>44</v>
      </c>
      <c r="F120" t="s">
        <v>1444</v>
      </c>
      <c r="H120" s="4" t="s">
        <v>220</v>
      </c>
      <c r="I120">
        <v>1</v>
      </c>
      <c r="J120">
        <v>0</v>
      </c>
      <c r="K120">
        <v>0</v>
      </c>
    </row>
    <row r="121" spans="1:11" x14ac:dyDescent="0.2">
      <c r="A121" t="s">
        <v>555</v>
      </c>
      <c r="B121" t="s">
        <v>591</v>
      </c>
      <c r="C121" t="s">
        <v>593</v>
      </c>
      <c r="D121" t="s">
        <v>594</v>
      </c>
      <c r="E121" t="s">
        <v>44</v>
      </c>
      <c r="F121" t="s">
        <v>1444</v>
      </c>
      <c r="H121" s="4" t="s">
        <v>592</v>
      </c>
      <c r="I121">
        <v>1</v>
      </c>
      <c r="J121">
        <v>0</v>
      </c>
      <c r="K121">
        <v>0</v>
      </c>
    </row>
    <row r="122" spans="1:11" x14ac:dyDescent="0.2">
      <c r="A122" t="s">
        <v>555</v>
      </c>
      <c r="B122" t="s">
        <v>597</v>
      </c>
      <c r="C122" t="s">
        <v>598</v>
      </c>
      <c r="D122" t="s">
        <v>599</v>
      </c>
      <c r="E122" t="s">
        <v>44</v>
      </c>
      <c r="F122" t="s">
        <v>1444</v>
      </c>
      <c r="H122" s="4" t="s">
        <v>21</v>
      </c>
      <c r="I122">
        <v>1</v>
      </c>
      <c r="J122">
        <v>0</v>
      </c>
      <c r="K122">
        <v>0</v>
      </c>
    </row>
    <row r="123" spans="1:11" x14ac:dyDescent="0.2">
      <c r="A123" t="s">
        <v>555</v>
      </c>
      <c r="B123" t="s">
        <v>602</v>
      </c>
      <c r="C123" t="s">
        <v>603</v>
      </c>
      <c r="D123" t="s">
        <v>604</v>
      </c>
      <c r="E123" t="s">
        <v>44</v>
      </c>
      <c r="F123" t="s">
        <v>1444</v>
      </c>
      <c r="H123" s="4" t="s">
        <v>21</v>
      </c>
      <c r="I123">
        <v>0</v>
      </c>
      <c r="J123">
        <v>0</v>
      </c>
      <c r="K123">
        <v>0</v>
      </c>
    </row>
    <row r="124" spans="1:11" x14ac:dyDescent="0.2">
      <c r="A124" t="s">
        <v>555</v>
      </c>
      <c r="B124" t="s">
        <v>608</v>
      </c>
      <c r="C124" t="s">
        <v>609</v>
      </c>
      <c r="D124" t="s">
        <v>610</v>
      </c>
      <c r="E124" t="s">
        <v>44</v>
      </c>
      <c r="F124" t="s">
        <v>1444</v>
      </c>
      <c r="H124" s="4" t="s">
        <v>21</v>
      </c>
      <c r="I124">
        <v>1</v>
      </c>
      <c r="J124">
        <v>0</v>
      </c>
      <c r="K124">
        <v>0</v>
      </c>
    </row>
    <row r="125" spans="1:11" x14ac:dyDescent="0.2">
      <c r="A125" t="s">
        <v>555</v>
      </c>
      <c r="B125" t="s">
        <v>614</v>
      </c>
      <c r="C125" t="s">
        <v>615</v>
      </c>
      <c r="D125" t="s">
        <v>616</v>
      </c>
      <c r="E125" t="s">
        <v>44</v>
      </c>
      <c r="F125" t="s">
        <v>1444</v>
      </c>
      <c r="H125" s="4" t="s">
        <v>55</v>
      </c>
      <c r="I125">
        <v>0</v>
      </c>
      <c r="J125">
        <v>0</v>
      </c>
      <c r="K125">
        <v>0</v>
      </c>
    </row>
    <row r="126" spans="1:11" x14ac:dyDescent="0.2">
      <c r="A126" t="s">
        <v>555</v>
      </c>
      <c r="B126" t="s">
        <v>619</v>
      </c>
      <c r="C126" t="s">
        <v>621</v>
      </c>
      <c r="D126" t="s">
        <v>622</v>
      </c>
      <c r="E126" t="s">
        <v>44</v>
      </c>
      <c r="F126" t="s">
        <v>1444</v>
      </c>
      <c r="H126" s="4" t="s">
        <v>186</v>
      </c>
      <c r="I126">
        <v>0</v>
      </c>
      <c r="J126">
        <v>0</v>
      </c>
      <c r="K126">
        <v>0</v>
      </c>
    </row>
    <row r="127" spans="1:11" x14ac:dyDescent="0.2">
      <c r="A127" t="s">
        <v>555</v>
      </c>
      <c r="B127" t="s">
        <v>625</v>
      </c>
      <c r="C127" t="s">
        <v>627</v>
      </c>
      <c r="D127" t="s">
        <v>434</v>
      </c>
      <c r="E127" t="s">
        <v>44</v>
      </c>
      <c r="F127" t="s">
        <v>1447</v>
      </c>
      <c r="H127" s="4" t="s">
        <v>21</v>
      </c>
      <c r="I127">
        <v>1</v>
      </c>
      <c r="J127">
        <v>0</v>
      </c>
      <c r="K127">
        <v>0</v>
      </c>
    </row>
    <row r="128" spans="1:11" x14ac:dyDescent="0.2">
      <c r="A128" t="s">
        <v>555</v>
      </c>
      <c r="B128" t="s">
        <v>630</v>
      </c>
      <c r="C128" t="s">
        <v>631</v>
      </c>
      <c r="D128" t="s">
        <v>632</v>
      </c>
      <c r="E128" t="s">
        <v>44</v>
      </c>
      <c r="F128" t="s">
        <v>557</v>
      </c>
      <c r="H128" s="4" t="s">
        <v>214</v>
      </c>
      <c r="I128">
        <v>1</v>
      </c>
      <c r="J128">
        <v>0</v>
      </c>
      <c r="K128">
        <v>0</v>
      </c>
    </row>
    <row r="129" spans="1:11" x14ac:dyDescent="0.2">
      <c r="A129" t="s">
        <v>555</v>
      </c>
      <c r="B129" t="s">
        <v>635</v>
      </c>
      <c r="C129" t="s">
        <v>636</v>
      </c>
      <c r="D129" t="s">
        <v>637</v>
      </c>
      <c r="E129" t="s">
        <v>44</v>
      </c>
      <c r="F129" t="s">
        <v>557</v>
      </c>
      <c r="H129" s="4" t="s">
        <v>113</v>
      </c>
      <c r="I129">
        <v>1</v>
      </c>
      <c r="J129">
        <v>0</v>
      </c>
      <c r="K129">
        <v>0</v>
      </c>
    </row>
    <row r="130" spans="1:11" x14ac:dyDescent="0.2">
      <c r="A130" t="s">
        <v>555</v>
      </c>
      <c r="B130" t="s">
        <v>640</v>
      </c>
      <c r="C130" t="s">
        <v>642</v>
      </c>
      <c r="D130" t="s">
        <v>643</v>
      </c>
      <c r="E130" t="s">
        <v>44</v>
      </c>
      <c r="F130" t="s">
        <v>1447</v>
      </c>
      <c r="H130" s="4" t="s">
        <v>55</v>
      </c>
      <c r="I130">
        <v>0</v>
      </c>
      <c r="J130">
        <v>0</v>
      </c>
      <c r="K130">
        <v>0</v>
      </c>
    </row>
    <row r="131" spans="1:11" x14ac:dyDescent="0.2">
      <c r="A131" t="s">
        <v>555</v>
      </c>
      <c r="B131" t="s">
        <v>646</v>
      </c>
      <c r="C131" t="s">
        <v>648</v>
      </c>
      <c r="D131" t="s">
        <v>649</v>
      </c>
      <c r="E131" t="s">
        <v>44</v>
      </c>
      <c r="F131" t="s">
        <v>1444</v>
      </c>
      <c r="H131" s="4" t="s">
        <v>21</v>
      </c>
      <c r="I131">
        <v>0</v>
      </c>
      <c r="J131">
        <v>0</v>
      </c>
      <c r="K131">
        <v>0</v>
      </c>
    </row>
    <row r="132" spans="1:11" x14ac:dyDescent="0.2">
      <c r="A132" t="s">
        <v>555</v>
      </c>
      <c r="B132" t="s">
        <v>652</v>
      </c>
      <c r="C132" t="s">
        <v>654</v>
      </c>
      <c r="D132" t="s">
        <v>655</v>
      </c>
      <c r="E132" t="s">
        <v>44</v>
      </c>
      <c r="F132" t="s">
        <v>1437</v>
      </c>
      <c r="H132" s="4" t="s">
        <v>653</v>
      </c>
      <c r="I132">
        <v>0</v>
      </c>
      <c r="J132">
        <v>0</v>
      </c>
      <c r="K132">
        <v>0</v>
      </c>
    </row>
    <row r="133" spans="1:11" x14ac:dyDescent="0.2">
      <c r="A133" t="s">
        <v>555</v>
      </c>
      <c r="B133" t="s">
        <v>658</v>
      </c>
      <c r="C133" t="s">
        <v>659</v>
      </c>
      <c r="D133" t="s">
        <v>660</v>
      </c>
      <c r="E133" t="s">
        <v>44</v>
      </c>
      <c r="F133" t="s">
        <v>1437</v>
      </c>
      <c r="H133" s="4" t="s">
        <v>113</v>
      </c>
      <c r="I133">
        <v>0</v>
      </c>
      <c r="J133">
        <v>0</v>
      </c>
      <c r="K133">
        <v>0</v>
      </c>
    </row>
    <row r="134" spans="1:11" x14ac:dyDescent="0.2">
      <c r="A134" t="s">
        <v>555</v>
      </c>
      <c r="B134" t="s">
        <v>663</v>
      </c>
      <c r="C134" t="s">
        <v>665</v>
      </c>
      <c r="D134" t="s">
        <v>666</v>
      </c>
      <c r="E134" t="s">
        <v>44</v>
      </c>
      <c r="F134" t="s">
        <v>1448</v>
      </c>
      <c r="H134" s="4" t="s">
        <v>186</v>
      </c>
      <c r="I134">
        <v>0</v>
      </c>
      <c r="J134">
        <v>1</v>
      </c>
      <c r="K134">
        <v>1</v>
      </c>
    </row>
    <row r="135" spans="1:11" x14ac:dyDescent="0.2">
      <c r="A135" t="s">
        <v>670</v>
      </c>
      <c r="B135" t="s">
        <v>663</v>
      </c>
      <c r="C135" t="s">
        <v>665</v>
      </c>
      <c r="D135" t="s">
        <v>666</v>
      </c>
      <c r="E135" t="s">
        <v>44</v>
      </c>
      <c r="F135" t="s">
        <v>1448</v>
      </c>
      <c r="H135" s="4" t="s">
        <v>186</v>
      </c>
      <c r="I135">
        <v>1</v>
      </c>
      <c r="J135">
        <v>1</v>
      </c>
      <c r="K135">
        <v>1</v>
      </c>
    </row>
    <row r="136" spans="1:11" x14ac:dyDescent="0.2">
      <c r="A136" t="s">
        <v>670</v>
      </c>
      <c r="B136" t="s">
        <v>674</v>
      </c>
      <c r="C136" t="s">
        <v>676</v>
      </c>
      <c r="D136" t="s">
        <v>677</v>
      </c>
      <c r="E136" t="s">
        <v>44</v>
      </c>
      <c r="F136" t="s">
        <v>1448</v>
      </c>
      <c r="H136" s="4" t="s">
        <v>186</v>
      </c>
      <c r="I136">
        <v>1</v>
      </c>
      <c r="J136">
        <v>1</v>
      </c>
      <c r="K136">
        <v>1</v>
      </c>
    </row>
    <row r="137" spans="1:11" x14ac:dyDescent="0.2">
      <c r="A137" t="s">
        <v>670</v>
      </c>
      <c r="B137" t="s">
        <v>681</v>
      </c>
      <c r="C137" t="s">
        <v>682</v>
      </c>
      <c r="D137" t="s">
        <v>683</v>
      </c>
      <c r="E137" t="s">
        <v>44</v>
      </c>
      <c r="F137" t="s">
        <v>1448</v>
      </c>
      <c r="H137" s="4" t="s">
        <v>186</v>
      </c>
      <c r="I137">
        <v>1</v>
      </c>
      <c r="J137">
        <v>1</v>
      </c>
      <c r="K137">
        <v>1</v>
      </c>
    </row>
    <row r="138" spans="1:11" x14ac:dyDescent="0.2">
      <c r="A138" t="s">
        <v>670</v>
      </c>
      <c r="B138" t="s">
        <v>686</v>
      </c>
      <c r="C138" t="s">
        <v>687</v>
      </c>
      <c r="D138" t="s">
        <v>688</v>
      </c>
      <c r="E138" t="s">
        <v>44</v>
      </c>
      <c r="F138" t="s">
        <v>1448</v>
      </c>
      <c r="H138" s="4" t="s">
        <v>186</v>
      </c>
      <c r="I138">
        <v>1</v>
      </c>
      <c r="J138">
        <v>0</v>
      </c>
      <c r="K138">
        <v>0</v>
      </c>
    </row>
    <row r="139" spans="1:11" x14ac:dyDescent="0.2">
      <c r="A139" t="s">
        <v>670</v>
      </c>
      <c r="B139" t="s">
        <v>691</v>
      </c>
      <c r="C139" t="s">
        <v>692</v>
      </c>
      <c r="D139" t="s">
        <v>693</v>
      </c>
      <c r="E139" t="s">
        <v>44</v>
      </c>
      <c r="F139" t="s">
        <v>1448</v>
      </c>
      <c r="H139" s="4" t="s">
        <v>186</v>
      </c>
      <c r="I139">
        <v>1</v>
      </c>
      <c r="J139">
        <v>0</v>
      </c>
      <c r="K139">
        <v>0</v>
      </c>
    </row>
    <row r="140" spans="1:11" x14ac:dyDescent="0.2">
      <c r="A140" t="s">
        <v>670</v>
      </c>
      <c r="B140" t="s">
        <v>696</v>
      </c>
      <c r="C140" t="s">
        <v>697</v>
      </c>
      <c r="D140" t="s">
        <v>698</v>
      </c>
      <c r="E140" t="s">
        <v>44</v>
      </c>
      <c r="F140" t="s">
        <v>1448</v>
      </c>
      <c r="H140" s="4" t="s">
        <v>172</v>
      </c>
      <c r="I140">
        <v>1</v>
      </c>
      <c r="J140">
        <v>1</v>
      </c>
      <c r="K140">
        <v>1</v>
      </c>
    </row>
    <row r="141" spans="1:11" x14ac:dyDescent="0.2">
      <c r="A141" t="s">
        <v>670</v>
      </c>
      <c r="B141" t="s">
        <v>702</v>
      </c>
      <c r="C141" t="s">
        <v>703</v>
      </c>
      <c r="D141" t="s">
        <v>704</v>
      </c>
      <c r="E141" t="s">
        <v>44</v>
      </c>
      <c r="F141" t="s">
        <v>1448</v>
      </c>
      <c r="H141" s="4" t="s">
        <v>186</v>
      </c>
      <c r="I141">
        <v>0</v>
      </c>
      <c r="J141">
        <v>0</v>
      </c>
      <c r="K141">
        <v>1</v>
      </c>
    </row>
    <row r="142" spans="1:11" x14ac:dyDescent="0.2">
      <c r="A142" t="s">
        <v>670</v>
      </c>
      <c r="B142" t="s">
        <v>707</v>
      </c>
      <c r="C142" t="s">
        <v>708</v>
      </c>
      <c r="D142" t="s">
        <v>709</v>
      </c>
      <c r="E142" t="s">
        <v>44</v>
      </c>
      <c r="F142" t="s">
        <v>1448</v>
      </c>
      <c r="H142" s="4" t="s">
        <v>172</v>
      </c>
      <c r="I142">
        <v>0</v>
      </c>
      <c r="J142">
        <v>0</v>
      </c>
      <c r="K142">
        <v>1</v>
      </c>
    </row>
    <row r="143" spans="1:11" x14ac:dyDescent="0.2">
      <c r="A143" t="s">
        <v>670</v>
      </c>
      <c r="B143" t="s">
        <v>712</v>
      </c>
      <c r="C143" t="s">
        <v>713</v>
      </c>
      <c r="D143" t="s">
        <v>714</v>
      </c>
      <c r="E143" t="s">
        <v>44</v>
      </c>
      <c r="F143" t="s">
        <v>1448</v>
      </c>
      <c r="H143" s="4" t="s">
        <v>186</v>
      </c>
      <c r="I143">
        <v>0</v>
      </c>
      <c r="J143">
        <v>0</v>
      </c>
      <c r="K143">
        <v>1</v>
      </c>
    </row>
    <row r="144" spans="1:11" x14ac:dyDescent="0.2">
      <c r="A144" t="s">
        <v>670</v>
      </c>
      <c r="B144" t="s">
        <v>717</v>
      </c>
      <c r="C144" t="s">
        <v>718</v>
      </c>
      <c r="D144" t="s">
        <v>719</v>
      </c>
      <c r="E144" t="s">
        <v>44</v>
      </c>
      <c r="F144" t="s">
        <v>1448</v>
      </c>
      <c r="H144" s="4" t="s">
        <v>186</v>
      </c>
      <c r="I144">
        <v>0</v>
      </c>
      <c r="J144">
        <v>0</v>
      </c>
      <c r="K144">
        <v>1</v>
      </c>
    </row>
    <row r="145" spans="1:11" x14ac:dyDescent="0.2">
      <c r="A145" t="s">
        <v>670</v>
      </c>
      <c r="B145" t="s">
        <v>722</v>
      </c>
      <c r="C145" t="s">
        <v>723</v>
      </c>
      <c r="D145" t="s">
        <v>724</v>
      </c>
      <c r="E145" t="s">
        <v>44</v>
      </c>
      <c r="F145" t="s">
        <v>1448</v>
      </c>
      <c r="H145" s="4" t="s">
        <v>172</v>
      </c>
      <c r="I145">
        <v>0</v>
      </c>
      <c r="J145">
        <v>0</v>
      </c>
      <c r="K145">
        <v>1</v>
      </c>
    </row>
    <row r="146" spans="1:11" x14ac:dyDescent="0.2">
      <c r="A146" t="s">
        <v>670</v>
      </c>
      <c r="B146" t="s">
        <v>726</v>
      </c>
      <c r="C146" t="s">
        <v>728</v>
      </c>
      <c r="D146" t="s">
        <v>729</v>
      </c>
      <c r="E146" t="s">
        <v>44</v>
      </c>
      <c r="F146" t="s">
        <v>727</v>
      </c>
      <c r="H146" s="4" t="s">
        <v>55</v>
      </c>
      <c r="I146">
        <v>1</v>
      </c>
      <c r="J146">
        <v>1</v>
      </c>
      <c r="K146">
        <v>0</v>
      </c>
    </row>
    <row r="147" spans="1:11" x14ac:dyDescent="0.2">
      <c r="A147" t="s">
        <v>670</v>
      </c>
      <c r="B147" t="s">
        <v>732</v>
      </c>
      <c r="C147" t="s">
        <v>733</v>
      </c>
      <c r="D147" t="s">
        <v>734</v>
      </c>
      <c r="E147" t="s">
        <v>44</v>
      </c>
      <c r="F147" t="s">
        <v>727</v>
      </c>
      <c r="H147" s="4" t="s">
        <v>55</v>
      </c>
      <c r="I147">
        <v>1</v>
      </c>
      <c r="J147">
        <v>1</v>
      </c>
      <c r="K147">
        <v>0</v>
      </c>
    </row>
    <row r="148" spans="1:11" x14ac:dyDescent="0.2">
      <c r="A148" t="s">
        <v>670</v>
      </c>
      <c r="B148" t="s">
        <v>738</v>
      </c>
      <c r="C148" t="s">
        <v>739</v>
      </c>
      <c r="D148" t="s">
        <v>740</v>
      </c>
      <c r="E148" t="s">
        <v>44</v>
      </c>
      <c r="F148" t="s">
        <v>727</v>
      </c>
      <c r="H148" s="4" t="s">
        <v>55</v>
      </c>
      <c r="I148">
        <v>1</v>
      </c>
      <c r="J148">
        <v>1</v>
      </c>
      <c r="K148">
        <v>0</v>
      </c>
    </row>
    <row r="149" spans="1:11" x14ac:dyDescent="0.2">
      <c r="A149" t="s">
        <v>670</v>
      </c>
      <c r="B149" t="s">
        <v>744</v>
      </c>
      <c r="C149" t="s">
        <v>745</v>
      </c>
      <c r="D149" t="s">
        <v>746</v>
      </c>
      <c r="E149" t="s">
        <v>44</v>
      </c>
      <c r="F149" t="s">
        <v>727</v>
      </c>
      <c r="H149" s="4" t="s">
        <v>55</v>
      </c>
      <c r="I149">
        <v>1</v>
      </c>
      <c r="J149">
        <v>0</v>
      </c>
      <c r="K149">
        <v>0</v>
      </c>
    </row>
    <row r="150" spans="1:11" x14ac:dyDescent="0.2">
      <c r="A150" t="s">
        <v>670</v>
      </c>
      <c r="B150" t="s">
        <v>750</v>
      </c>
      <c r="C150" t="s">
        <v>751</v>
      </c>
      <c r="D150" t="s">
        <v>752</v>
      </c>
      <c r="E150" t="s">
        <v>44</v>
      </c>
      <c r="F150" t="s">
        <v>727</v>
      </c>
      <c r="H150" s="4" t="s">
        <v>55</v>
      </c>
      <c r="I150">
        <v>1</v>
      </c>
      <c r="J150">
        <v>0</v>
      </c>
      <c r="K150">
        <v>0</v>
      </c>
    </row>
    <row r="151" spans="1:11" x14ac:dyDescent="0.2">
      <c r="A151" t="s">
        <v>670</v>
      </c>
      <c r="B151" t="s">
        <v>756</v>
      </c>
      <c r="C151" t="s">
        <v>758</v>
      </c>
      <c r="D151" t="s">
        <v>759</v>
      </c>
      <c r="E151" t="s">
        <v>44</v>
      </c>
      <c r="F151" t="s">
        <v>1443</v>
      </c>
      <c r="H151" s="4" t="s">
        <v>21</v>
      </c>
      <c r="I151">
        <v>1</v>
      </c>
      <c r="J151">
        <v>1</v>
      </c>
      <c r="K151">
        <v>1</v>
      </c>
    </row>
    <row r="152" spans="1:11" x14ac:dyDescent="0.2">
      <c r="A152" t="s">
        <v>670</v>
      </c>
      <c r="B152" t="s">
        <v>762</v>
      </c>
      <c r="C152" t="s">
        <v>763</v>
      </c>
      <c r="D152" t="s">
        <v>764</v>
      </c>
      <c r="E152" t="s">
        <v>44</v>
      </c>
      <c r="F152" t="s">
        <v>1443</v>
      </c>
      <c r="H152" s="4" t="s">
        <v>214</v>
      </c>
      <c r="I152">
        <v>1</v>
      </c>
      <c r="J152">
        <v>1</v>
      </c>
      <c r="K152">
        <v>0</v>
      </c>
    </row>
    <row r="153" spans="1:11" x14ac:dyDescent="0.2">
      <c r="A153" t="s">
        <v>670</v>
      </c>
      <c r="B153" t="s">
        <v>767</v>
      </c>
      <c r="C153" t="s">
        <v>768</v>
      </c>
      <c r="D153" t="s">
        <v>769</v>
      </c>
      <c r="E153" t="s">
        <v>44</v>
      </c>
      <c r="F153" t="s">
        <v>1443</v>
      </c>
      <c r="H153" s="4" t="s">
        <v>214</v>
      </c>
      <c r="I153">
        <v>1</v>
      </c>
      <c r="J153">
        <v>1</v>
      </c>
      <c r="K153">
        <v>0</v>
      </c>
    </row>
    <row r="154" spans="1:11" x14ac:dyDescent="0.2">
      <c r="A154" t="s">
        <v>670</v>
      </c>
      <c r="B154" t="s">
        <v>773</v>
      </c>
      <c r="C154" t="s">
        <v>774</v>
      </c>
      <c r="D154" t="s">
        <v>775</v>
      </c>
      <c r="E154" t="s">
        <v>44</v>
      </c>
      <c r="F154" t="s">
        <v>1443</v>
      </c>
      <c r="H154" s="4" t="s">
        <v>214</v>
      </c>
      <c r="I154">
        <v>1</v>
      </c>
      <c r="J154">
        <v>1</v>
      </c>
      <c r="K154">
        <v>0</v>
      </c>
    </row>
    <row r="155" spans="1:11" x14ac:dyDescent="0.2">
      <c r="A155" t="s">
        <v>670</v>
      </c>
      <c r="B155" t="s">
        <v>779</v>
      </c>
      <c r="C155" t="s">
        <v>576</v>
      </c>
      <c r="D155" t="s">
        <v>577</v>
      </c>
      <c r="E155" t="s">
        <v>44</v>
      </c>
      <c r="F155" t="s">
        <v>1444</v>
      </c>
      <c r="H155" s="4" t="s">
        <v>220</v>
      </c>
      <c r="I155">
        <v>1</v>
      </c>
      <c r="J155">
        <v>1</v>
      </c>
      <c r="K155">
        <v>1</v>
      </c>
    </row>
    <row r="156" spans="1:11" x14ac:dyDescent="0.2">
      <c r="A156" t="s">
        <v>670</v>
      </c>
      <c r="B156" t="s">
        <v>783</v>
      </c>
      <c r="C156" t="s">
        <v>784</v>
      </c>
      <c r="D156" t="s">
        <v>785</v>
      </c>
      <c r="E156" t="s">
        <v>44</v>
      </c>
      <c r="F156" t="s">
        <v>1444</v>
      </c>
      <c r="H156" s="4" t="s">
        <v>220</v>
      </c>
      <c r="I156">
        <v>1</v>
      </c>
      <c r="J156">
        <v>1</v>
      </c>
      <c r="K156">
        <v>1</v>
      </c>
    </row>
    <row r="157" spans="1:11" x14ac:dyDescent="0.2">
      <c r="A157" t="s">
        <v>670</v>
      </c>
      <c r="B157" t="s">
        <v>788</v>
      </c>
      <c r="C157" t="s">
        <v>790</v>
      </c>
      <c r="D157" t="s">
        <v>791</v>
      </c>
      <c r="E157" t="s">
        <v>354</v>
      </c>
      <c r="F157" t="s">
        <v>1445</v>
      </c>
      <c r="H157" s="4" t="s">
        <v>55</v>
      </c>
      <c r="I157">
        <v>1</v>
      </c>
      <c r="J157">
        <v>1</v>
      </c>
      <c r="K157">
        <v>0</v>
      </c>
    </row>
    <row r="158" spans="1:11" x14ac:dyDescent="0.2">
      <c r="A158" t="s">
        <v>794</v>
      </c>
      <c r="B158" t="s">
        <v>795</v>
      </c>
      <c r="C158" t="s">
        <v>797</v>
      </c>
      <c r="D158" t="s">
        <v>798</v>
      </c>
      <c r="E158" t="s">
        <v>19</v>
      </c>
      <c r="F158" t="s">
        <v>1445</v>
      </c>
      <c r="H158" s="4" t="s">
        <v>206</v>
      </c>
      <c r="I158">
        <v>1</v>
      </c>
      <c r="J158">
        <v>1</v>
      </c>
      <c r="K158">
        <v>1</v>
      </c>
    </row>
    <row r="159" spans="1:11" x14ac:dyDescent="0.2">
      <c r="A159" t="s">
        <v>794</v>
      </c>
      <c r="B159" t="s">
        <v>803</v>
      </c>
      <c r="C159" t="s">
        <v>804</v>
      </c>
      <c r="D159" t="s">
        <v>805</v>
      </c>
      <c r="E159" t="s">
        <v>19</v>
      </c>
      <c r="F159" t="s">
        <v>1445</v>
      </c>
      <c r="H159" s="4" t="s">
        <v>206</v>
      </c>
      <c r="I159">
        <v>1</v>
      </c>
      <c r="J159">
        <v>1</v>
      </c>
      <c r="K159">
        <v>1</v>
      </c>
    </row>
    <row r="160" spans="1:11" x14ac:dyDescent="0.2">
      <c r="A160" t="s">
        <v>794</v>
      </c>
      <c r="B160" t="s">
        <v>809</v>
      </c>
      <c r="C160" t="s">
        <v>811</v>
      </c>
      <c r="D160" t="s">
        <v>812</v>
      </c>
      <c r="E160" t="s">
        <v>44</v>
      </c>
      <c r="F160" t="s">
        <v>1449</v>
      </c>
      <c r="H160" s="4" t="s">
        <v>55</v>
      </c>
      <c r="I160">
        <v>1</v>
      </c>
      <c r="J160">
        <v>0</v>
      </c>
      <c r="K160">
        <v>0</v>
      </c>
    </row>
    <row r="161" spans="1:11" x14ac:dyDescent="0.2">
      <c r="A161" t="s">
        <v>794</v>
      </c>
      <c r="B161" t="s">
        <v>816</v>
      </c>
      <c r="C161" t="s">
        <v>804</v>
      </c>
      <c r="D161" t="s">
        <v>805</v>
      </c>
      <c r="E161" t="s">
        <v>44</v>
      </c>
      <c r="F161" t="s">
        <v>1445</v>
      </c>
      <c r="H161" s="4" t="s">
        <v>206</v>
      </c>
      <c r="I161">
        <v>1</v>
      </c>
      <c r="J161">
        <v>0</v>
      </c>
      <c r="K161">
        <v>0</v>
      </c>
    </row>
    <row r="162" spans="1:11" x14ac:dyDescent="0.2">
      <c r="A162" t="s">
        <v>794</v>
      </c>
      <c r="B162" t="s">
        <v>819</v>
      </c>
      <c r="C162" t="s">
        <v>821</v>
      </c>
      <c r="D162" t="s">
        <v>822</v>
      </c>
      <c r="E162" t="s">
        <v>44</v>
      </c>
      <c r="F162" t="s">
        <v>1449</v>
      </c>
      <c r="H162" s="4" t="s">
        <v>206</v>
      </c>
      <c r="I162">
        <v>1</v>
      </c>
      <c r="J162">
        <v>0</v>
      </c>
      <c r="K162">
        <v>0</v>
      </c>
    </row>
    <row r="163" spans="1:11" x14ac:dyDescent="0.2">
      <c r="A163" t="s">
        <v>826</v>
      </c>
      <c r="B163" t="s">
        <v>827</v>
      </c>
      <c r="C163" t="s">
        <v>829</v>
      </c>
      <c r="D163" t="s">
        <v>830</v>
      </c>
      <c r="E163" t="s">
        <v>19</v>
      </c>
      <c r="F163" t="s">
        <v>1438</v>
      </c>
      <c r="H163" s="4" t="s">
        <v>21</v>
      </c>
      <c r="I163">
        <v>1</v>
      </c>
      <c r="J163">
        <v>1</v>
      </c>
      <c r="K163">
        <v>1</v>
      </c>
    </row>
    <row r="164" spans="1:11" x14ac:dyDescent="0.2">
      <c r="A164" t="s">
        <v>826</v>
      </c>
      <c r="B164" t="s">
        <v>835</v>
      </c>
      <c r="C164" t="s">
        <v>836</v>
      </c>
      <c r="D164" t="s">
        <v>837</v>
      </c>
      <c r="E164" t="s">
        <v>19</v>
      </c>
      <c r="F164" t="s">
        <v>1438</v>
      </c>
      <c r="H164" s="4" t="s">
        <v>21</v>
      </c>
      <c r="I164">
        <v>1</v>
      </c>
      <c r="J164">
        <v>1</v>
      </c>
      <c r="K164">
        <v>1</v>
      </c>
    </row>
    <row r="165" spans="1:11" x14ac:dyDescent="0.2">
      <c r="A165" t="s">
        <v>826</v>
      </c>
      <c r="B165" t="s">
        <v>841</v>
      </c>
      <c r="C165" t="s">
        <v>842</v>
      </c>
      <c r="D165" t="s">
        <v>843</v>
      </c>
      <c r="E165" t="s">
        <v>19</v>
      </c>
      <c r="F165" t="s">
        <v>1438</v>
      </c>
      <c r="H165" s="4" t="s">
        <v>21</v>
      </c>
      <c r="I165">
        <v>1</v>
      </c>
      <c r="J165">
        <v>1</v>
      </c>
      <c r="K165">
        <v>1</v>
      </c>
    </row>
    <row r="166" spans="1:11" x14ac:dyDescent="0.2">
      <c r="A166" t="s">
        <v>826</v>
      </c>
      <c r="B166" t="s">
        <v>846</v>
      </c>
      <c r="C166" t="s">
        <v>848</v>
      </c>
      <c r="D166" t="s">
        <v>849</v>
      </c>
      <c r="E166" t="s">
        <v>19</v>
      </c>
      <c r="F166" t="s">
        <v>1438</v>
      </c>
      <c r="H166" s="4" t="s">
        <v>847</v>
      </c>
      <c r="I166">
        <v>1</v>
      </c>
      <c r="J166">
        <v>1</v>
      </c>
      <c r="K166">
        <v>0</v>
      </c>
    </row>
    <row r="167" spans="1:11" x14ac:dyDescent="0.2">
      <c r="A167" t="s">
        <v>826</v>
      </c>
      <c r="B167" t="s">
        <v>853</v>
      </c>
      <c r="C167" t="s">
        <v>427</v>
      </c>
      <c r="D167" t="s">
        <v>428</v>
      </c>
      <c r="E167" t="s">
        <v>44</v>
      </c>
      <c r="F167" t="s">
        <v>1447</v>
      </c>
      <c r="H167" s="4" t="s">
        <v>206</v>
      </c>
      <c r="I167">
        <v>1</v>
      </c>
      <c r="J167">
        <v>1</v>
      </c>
      <c r="K167">
        <v>0</v>
      </c>
    </row>
    <row r="168" spans="1:11" x14ac:dyDescent="0.2">
      <c r="A168" t="s">
        <v>826</v>
      </c>
      <c r="B168" t="s">
        <v>857</v>
      </c>
      <c r="C168" t="s">
        <v>859</v>
      </c>
      <c r="D168" t="s">
        <v>860</v>
      </c>
      <c r="E168" t="s">
        <v>19</v>
      </c>
      <c r="F168" t="s">
        <v>1450</v>
      </c>
      <c r="H168" s="4" t="s">
        <v>214</v>
      </c>
      <c r="I168">
        <v>1</v>
      </c>
      <c r="J168">
        <v>0</v>
      </c>
      <c r="K168">
        <v>0</v>
      </c>
    </row>
    <row r="169" spans="1:11" x14ac:dyDescent="0.2">
      <c r="A169" t="s">
        <v>826</v>
      </c>
      <c r="B169" t="s">
        <v>499</v>
      </c>
      <c r="C169" t="s">
        <v>501</v>
      </c>
      <c r="D169" t="s">
        <v>502</v>
      </c>
      <c r="E169" t="s">
        <v>19</v>
      </c>
      <c r="F169" t="s">
        <v>1447</v>
      </c>
      <c r="H169" s="4" t="s">
        <v>113</v>
      </c>
      <c r="I169">
        <v>1</v>
      </c>
      <c r="J169">
        <v>0</v>
      </c>
      <c r="K169">
        <v>0</v>
      </c>
    </row>
    <row r="170" spans="1:11" x14ac:dyDescent="0.2">
      <c r="A170" t="s">
        <v>865</v>
      </c>
      <c r="B170" t="s">
        <v>319</v>
      </c>
      <c r="C170" t="s">
        <v>321</v>
      </c>
      <c r="D170" t="s">
        <v>322</v>
      </c>
      <c r="E170" t="s">
        <v>19</v>
      </c>
      <c r="F170" t="s">
        <v>866</v>
      </c>
      <c r="H170" s="4" t="s">
        <v>128</v>
      </c>
      <c r="I170">
        <v>1</v>
      </c>
      <c r="J170">
        <v>1</v>
      </c>
      <c r="K170">
        <v>1</v>
      </c>
    </row>
    <row r="171" spans="1:11" x14ac:dyDescent="0.2">
      <c r="A171" t="s">
        <v>865</v>
      </c>
      <c r="B171" t="s">
        <v>871</v>
      </c>
      <c r="C171" t="s">
        <v>873</v>
      </c>
      <c r="D171" t="s">
        <v>874</v>
      </c>
      <c r="E171" t="s">
        <v>19</v>
      </c>
      <c r="F171" t="s">
        <v>872</v>
      </c>
      <c r="H171" s="4" t="s">
        <v>128</v>
      </c>
      <c r="I171">
        <v>1</v>
      </c>
      <c r="J171">
        <v>1</v>
      </c>
      <c r="K171">
        <v>1</v>
      </c>
    </row>
    <row r="172" spans="1:11" x14ac:dyDescent="0.2">
      <c r="A172" t="s">
        <v>877</v>
      </c>
      <c r="B172" t="s">
        <v>878</v>
      </c>
      <c r="C172" t="s">
        <v>880</v>
      </c>
      <c r="D172" t="s">
        <v>881</v>
      </c>
      <c r="E172" t="s">
        <v>19</v>
      </c>
      <c r="F172" t="s">
        <v>1440</v>
      </c>
      <c r="H172" s="4" t="s">
        <v>220</v>
      </c>
      <c r="I172">
        <v>1</v>
      </c>
      <c r="J172">
        <v>1</v>
      </c>
      <c r="K172">
        <v>0</v>
      </c>
    </row>
    <row r="173" spans="1:11" x14ac:dyDescent="0.2">
      <c r="A173" t="s">
        <v>877</v>
      </c>
      <c r="B173" t="s">
        <v>119</v>
      </c>
      <c r="C173" t="s">
        <v>121</v>
      </c>
      <c r="D173" t="s">
        <v>122</v>
      </c>
      <c r="E173" t="s">
        <v>44</v>
      </c>
      <c r="F173" t="s">
        <v>1440</v>
      </c>
      <c r="H173" s="4" t="s">
        <v>113</v>
      </c>
      <c r="I173">
        <v>1</v>
      </c>
      <c r="J173">
        <v>0</v>
      </c>
      <c r="K173">
        <v>1</v>
      </c>
    </row>
    <row r="174" spans="1:11" x14ac:dyDescent="0.2">
      <c r="A174" t="s">
        <v>877</v>
      </c>
      <c r="B174" t="s">
        <v>888</v>
      </c>
      <c r="C174" t="s">
        <v>889</v>
      </c>
      <c r="D174" t="s">
        <v>890</v>
      </c>
      <c r="E174" t="s">
        <v>44</v>
      </c>
      <c r="F174" t="s">
        <v>1440</v>
      </c>
      <c r="H174" s="4" t="s">
        <v>113</v>
      </c>
      <c r="I174">
        <v>1</v>
      </c>
      <c r="J174">
        <v>0</v>
      </c>
      <c r="K174">
        <v>0</v>
      </c>
    </row>
    <row r="175" spans="1:11" x14ac:dyDescent="0.2">
      <c r="A175" t="s">
        <v>877</v>
      </c>
      <c r="B175" t="s">
        <v>893</v>
      </c>
      <c r="C175" t="s">
        <v>894</v>
      </c>
      <c r="D175" t="s">
        <v>895</v>
      </c>
      <c r="E175" t="s">
        <v>44</v>
      </c>
      <c r="F175" t="s">
        <v>1440</v>
      </c>
      <c r="H175" s="4" t="s">
        <v>893</v>
      </c>
      <c r="I175">
        <v>0</v>
      </c>
      <c r="J175">
        <v>0</v>
      </c>
      <c r="K175">
        <v>0</v>
      </c>
    </row>
    <row r="176" spans="1:11" x14ac:dyDescent="0.2">
      <c r="A176" t="s">
        <v>877</v>
      </c>
      <c r="B176" t="s">
        <v>102</v>
      </c>
      <c r="C176" t="s">
        <v>104</v>
      </c>
      <c r="D176" t="s">
        <v>105</v>
      </c>
      <c r="E176" t="s">
        <v>19</v>
      </c>
      <c r="F176" t="s">
        <v>103</v>
      </c>
      <c r="H176" s="4" t="s">
        <v>55</v>
      </c>
      <c r="I176">
        <v>1</v>
      </c>
      <c r="J176">
        <v>0</v>
      </c>
      <c r="K176">
        <v>0</v>
      </c>
    </row>
    <row r="177" spans="1:11" x14ac:dyDescent="0.2">
      <c r="A177" t="s">
        <v>900</v>
      </c>
      <c r="B177" t="s">
        <v>901</v>
      </c>
      <c r="C177" t="s">
        <v>903</v>
      </c>
      <c r="D177" t="s">
        <v>904</v>
      </c>
      <c r="E177" t="s">
        <v>44</v>
      </c>
      <c r="F177" t="s">
        <v>1438</v>
      </c>
      <c r="H177" s="4" t="s">
        <v>91</v>
      </c>
      <c r="I177">
        <v>1</v>
      </c>
      <c r="J177">
        <v>1</v>
      </c>
      <c r="K177">
        <v>1</v>
      </c>
    </row>
    <row r="178" spans="1:11" x14ac:dyDescent="0.2">
      <c r="A178" t="s">
        <v>900</v>
      </c>
      <c r="B178" t="s">
        <v>909</v>
      </c>
      <c r="C178" t="s">
        <v>911</v>
      </c>
      <c r="D178" t="s">
        <v>912</v>
      </c>
      <c r="E178" t="s">
        <v>44</v>
      </c>
      <c r="F178" t="s">
        <v>1438</v>
      </c>
      <c r="H178" s="4" t="s">
        <v>214</v>
      </c>
      <c r="I178">
        <v>1</v>
      </c>
      <c r="J178">
        <v>1</v>
      </c>
      <c r="K178">
        <v>1</v>
      </c>
    </row>
    <row r="179" spans="1:11" x14ac:dyDescent="0.2">
      <c r="A179" t="s">
        <v>900</v>
      </c>
      <c r="B179" t="s">
        <v>916</v>
      </c>
      <c r="C179" t="s">
        <v>918</v>
      </c>
      <c r="D179" t="s">
        <v>919</v>
      </c>
      <c r="E179" t="s">
        <v>44</v>
      </c>
      <c r="F179" t="s">
        <v>1447</v>
      </c>
      <c r="H179" s="4" t="s">
        <v>21</v>
      </c>
      <c r="I179">
        <v>1</v>
      </c>
      <c r="J179">
        <v>1</v>
      </c>
      <c r="K179">
        <v>0</v>
      </c>
    </row>
    <row r="180" spans="1:11" x14ac:dyDescent="0.2">
      <c r="A180" t="s">
        <v>900</v>
      </c>
      <c r="B180" t="s">
        <v>923</v>
      </c>
      <c r="C180" t="s">
        <v>924</v>
      </c>
      <c r="D180" t="s">
        <v>925</v>
      </c>
      <c r="E180" t="s">
        <v>44</v>
      </c>
      <c r="F180" t="s">
        <v>1438</v>
      </c>
      <c r="H180" s="4" t="s">
        <v>21</v>
      </c>
      <c r="I180">
        <v>1</v>
      </c>
      <c r="J180">
        <v>0</v>
      </c>
      <c r="K180">
        <v>0</v>
      </c>
    </row>
    <row r="181" spans="1:11" x14ac:dyDescent="0.2">
      <c r="A181" t="s">
        <v>929</v>
      </c>
      <c r="B181" t="s">
        <v>930</v>
      </c>
      <c r="C181" t="s">
        <v>932</v>
      </c>
      <c r="D181" t="s">
        <v>933</v>
      </c>
      <c r="E181" t="s">
        <v>19</v>
      </c>
      <c r="F181" t="s">
        <v>1450</v>
      </c>
      <c r="H181" s="4" t="s">
        <v>113</v>
      </c>
      <c r="I181">
        <v>1</v>
      </c>
      <c r="J181">
        <v>1</v>
      </c>
      <c r="K181">
        <v>1</v>
      </c>
    </row>
    <row r="182" spans="1:11" x14ac:dyDescent="0.2">
      <c r="A182" t="s">
        <v>929</v>
      </c>
      <c r="B182" t="s">
        <v>938</v>
      </c>
      <c r="C182" t="s">
        <v>939</v>
      </c>
      <c r="D182" t="s">
        <v>940</v>
      </c>
      <c r="E182" t="s">
        <v>19</v>
      </c>
      <c r="F182" t="s">
        <v>1450</v>
      </c>
      <c r="H182" s="4" t="s">
        <v>113</v>
      </c>
      <c r="I182">
        <v>1</v>
      </c>
      <c r="J182">
        <v>1</v>
      </c>
      <c r="K182">
        <v>1</v>
      </c>
    </row>
    <row r="183" spans="1:11" x14ac:dyDescent="0.2">
      <c r="A183" t="s">
        <v>929</v>
      </c>
      <c r="B183" t="s">
        <v>944</v>
      </c>
      <c r="C183" t="s">
        <v>945</v>
      </c>
      <c r="D183" t="s">
        <v>946</v>
      </c>
      <c r="E183" t="s">
        <v>19</v>
      </c>
      <c r="F183" t="s">
        <v>1450</v>
      </c>
      <c r="H183" s="4" t="s">
        <v>113</v>
      </c>
      <c r="I183">
        <v>1</v>
      </c>
      <c r="J183">
        <v>1</v>
      </c>
      <c r="K183">
        <v>1</v>
      </c>
    </row>
    <row r="184" spans="1:11" x14ac:dyDescent="0.2">
      <c r="A184" t="s">
        <v>929</v>
      </c>
      <c r="B184" t="s">
        <v>950</v>
      </c>
      <c r="C184" t="s">
        <v>951</v>
      </c>
      <c r="D184" t="s">
        <v>952</v>
      </c>
      <c r="E184" t="s">
        <v>19</v>
      </c>
      <c r="F184" t="s">
        <v>1450</v>
      </c>
      <c r="H184" s="4" t="s">
        <v>261</v>
      </c>
      <c r="I184">
        <v>1</v>
      </c>
      <c r="J184">
        <v>1</v>
      </c>
      <c r="K184">
        <v>1</v>
      </c>
    </row>
    <row r="185" spans="1:11" x14ac:dyDescent="0.2">
      <c r="A185" t="s">
        <v>929</v>
      </c>
      <c r="B185" t="s">
        <v>956</v>
      </c>
      <c r="C185" t="s">
        <v>957</v>
      </c>
      <c r="D185" t="s">
        <v>958</v>
      </c>
      <c r="E185" t="s">
        <v>19</v>
      </c>
      <c r="F185" t="s">
        <v>1450</v>
      </c>
      <c r="H185" s="4" t="s">
        <v>128</v>
      </c>
      <c r="I185">
        <v>1</v>
      </c>
      <c r="J185">
        <v>1</v>
      </c>
      <c r="K185">
        <v>1</v>
      </c>
    </row>
    <row r="186" spans="1:11" x14ac:dyDescent="0.2">
      <c r="A186" t="s">
        <v>929</v>
      </c>
      <c r="B186" t="s">
        <v>961</v>
      </c>
      <c r="C186" t="s">
        <v>962</v>
      </c>
      <c r="D186" t="s">
        <v>963</v>
      </c>
      <c r="E186" t="s">
        <v>19</v>
      </c>
      <c r="F186" t="s">
        <v>1450</v>
      </c>
      <c r="H186" s="4" t="s">
        <v>55</v>
      </c>
      <c r="I186">
        <v>1</v>
      </c>
      <c r="J186">
        <v>1</v>
      </c>
      <c r="K186">
        <v>1</v>
      </c>
    </row>
    <row r="187" spans="1:11" x14ac:dyDescent="0.2">
      <c r="A187" t="s">
        <v>929</v>
      </c>
      <c r="B187" t="s">
        <v>966</v>
      </c>
      <c r="C187" t="s">
        <v>967</v>
      </c>
      <c r="D187" t="s">
        <v>968</v>
      </c>
      <c r="E187" t="s">
        <v>44</v>
      </c>
      <c r="F187" t="s">
        <v>1450</v>
      </c>
      <c r="H187" s="4" t="s">
        <v>113</v>
      </c>
      <c r="I187">
        <v>1</v>
      </c>
      <c r="J187">
        <v>0</v>
      </c>
      <c r="K187">
        <v>0</v>
      </c>
    </row>
    <row r="188" spans="1:11" x14ac:dyDescent="0.2">
      <c r="A188" t="s">
        <v>929</v>
      </c>
      <c r="B188" t="s">
        <v>971</v>
      </c>
      <c r="C188" t="s">
        <v>972</v>
      </c>
      <c r="D188" t="s">
        <v>973</v>
      </c>
      <c r="E188" t="s">
        <v>44</v>
      </c>
      <c r="F188" t="s">
        <v>1450</v>
      </c>
      <c r="H188" s="4" t="s">
        <v>113</v>
      </c>
      <c r="I188">
        <v>1</v>
      </c>
      <c r="J188">
        <v>0</v>
      </c>
      <c r="K188">
        <v>0</v>
      </c>
    </row>
    <row r="189" spans="1:11" x14ac:dyDescent="0.2">
      <c r="A189" t="s">
        <v>929</v>
      </c>
      <c r="B189" t="s">
        <v>976</v>
      </c>
      <c r="C189" t="s">
        <v>972</v>
      </c>
      <c r="D189" t="s">
        <v>968</v>
      </c>
      <c r="E189" t="s">
        <v>44</v>
      </c>
      <c r="F189" t="s">
        <v>1450</v>
      </c>
      <c r="H189" s="4" t="s">
        <v>113</v>
      </c>
      <c r="I189">
        <v>1</v>
      </c>
      <c r="J189">
        <v>0</v>
      </c>
      <c r="K189">
        <v>0</v>
      </c>
    </row>
    <row r="190" spans="1:11" x14ac:dyDescent="0.2">
      <c r="A190" t="s">
        <v>929</v>
      </c>
      <c r="B190" t="s">
        <v>979</v>
      </c>
      <c r="C190" t="s">
        <v>981</v>
      </c>
      <c r="D190" t="s">
        <v>982</v>
      </c>
      <c r="E190" t="s">
        <v>44</v>
      </c>
      <c r="F190" t="s">
        <v>1450</v>
      </c>
      <c r="H190" s="4" t="s">
        <v>980</v>
      </c>
      <c r="I190">
        <v>1</v>
      </c>
      <c r="J190">
        <v>0</v>
      </c>
      <c r="K190">
        <v>0</v>
      </c>
    </row>
    <row r="191" spans="1:11" x14ac:dyDescent="0.2">
      <c r="A191" t="s">
        <v>929</v>
      </c>
      <c r="B191" t="s">
        <v>985</v>
      </c>
      <c r="C191" t="s">
        <v>986</v>
      </c>
      <c r="D191" t="s">
        <v>987</v>
      </c>
      <c r="E191" t="s">
        <v>19</v>
      </c>
      <c r="F191" t="s">
        <v>1450</v>
      </c>
      <c r="H191" s="4" t="s">
        <v>21</v>
      </c>
      <c r="I191">
        <v>1</v>
      </c>
      <c r="J191">
        <v>0</v>
      </c>
      <c r="K191">
        <v>0</v>
      </c>
    </row>
    <row r="192" spans="1:11" x14ac:dyDescent="0.2">
      <c r="A192" t="s">
        <v>929</v>
      </c>
      <c r="B192" t="s">
        <v>991</v>
      </c>
      <c r="C192" t="s">
        <v>992</v>
      </c>
      <c r="D192" t="s">
        <v>993</v>
      </c>
      <c r="E192" t="s">
        <v>44</v>
      </c>
      <c r="F192" t="s">
        <v>1450</v>
      </c>
      <c r="H192" s="4" t="s">
        <v>113</v>
      </c>
      <c r="I192">
        <v>1</v>
      </c>
      <c r="J192">
        <v>0</v>
      </c>
      <c r="K192">
        <v>0</v>
      </c>
    </row>
    <row r="193" spans="1:11" x14ac:dyDescent="0.2">
      <c r="A193" t="s">
        <v>929</v>
      </c>
      <c r="B193" t="s">
        <v>996</v>
      </c>
      <c r="C193" t="s">
        <v>997</v>
      </c>
      <c r="D193" t="s">
        <v>998</v>
      </c>
      <c r="E193" t="s">
        <v>44</v>
      </c>
      <c r="F193" t="s">
        <v>1450</v>
      </c>
      <c r="H193" s="4" t="s">
        <v>55</v>
      </c>
      <c r="I193">
        <v>1</v>
      </c>
      <c r="J193">
        <v>0</v>
      </c>
      <c r="K193">
        <v>0</v>
      </c>
    </row>
    <row r="194" spans="1:11" x14ac:dyDescent="0.2">
      <c r="A194" t="s">
        <v>929</v>
      </c>
      <c r="B194" t="s">
        <v>1001</v>
      </c>
      <c r="C194" t="s">
        <v>1002</v>
      </c>
      <c r="D194" t="s">
        <v>1003</v>
      </c>
      <c r="E194" t="s">
        <v>44</v>
      </c>
      <c r="F194" t="s">
        <v>1450</v>
      </c>
      <c r="H194" s="4" t="s">
        <v>55</v>
      </c>
      <c r="I194">
        <v>1</v>
      </c>
      <c r="J194">
        <v>0</v>
      </c>
      <c r="K194">
        <v>0</v>
      </c>
    </row>
    <row r="195" spans="1:11" x14ac:dyDescent="0.2">
      <c r="A195" t="s">
        <v>929</v>
      </c>
      <c r="B195" t="s">
        <v>1006</v>
      </c>
      <c r="C195" t="s">
        <v>1007</v>
      </c>
      <c r="D195" t="s">
        <v>1008</v>
      </c>
      <c r="E195" t="s">
        <v>44</v>
      </c>
      <c r="F195" t="s">
        <v>1450</v>
      </c>
      <c r="H195" s="4" t="s">
        <v>128</v>
      </c>
      <c r="I195">
        <v>1</v>
      </c>
      <c r="J195">
        <v>0</v>
      </c>
      <c r="K195">
        <v>0</v>
      </c>
    </row>
    <row r="196" spans="1:11" x14ac:dyDescent="0.2">
      <c r="A196" t="s">
        <v>929</v>
      </c>
      <c r="B196" t="s">
        <v>1010</v>
      </c>
      <c r="C196" t="s">
        <v>1011</v>
      </c>
      <c r="D196" t="s">
        <v>1012</v>
      </c>
      <c r="E196" t="s">
        <v>44</v>
      </c>
      <c r="F196" t="s">
        <v>1450</v>
      </c>
      <c r="H196" s="4" t="s">
        <v>653</v>
      </c>
      <c r="I196">
        <v>1</v>
      </c>
      <c r="J196">
        <v>0</v>
      </c>
      <c r="K196">
        <v>0</v>
      </c>
    </row>
    <row r="197" spans="1:11" x14ac:dyDescent="0.2">
      <c r="A197" t="s">
        <v>929</v>
      </c>
      <c r="B197" t="s">
        <v>1015</v>
      </c>
      <c r="C197" t="s">
        <v>1016</v>
      </c>
      <c r="D197" t="s">
        <v>1017</v>
      </c>
      <c r="E197" t="s">
        <v>44</v>
      </c>
      <c r="F197" t="s">
        <v>1450</v>
      </c>
      <c r="H197" s="4" t="s">
        <v>653</v>
      </c>
      <c r="I197">
        <v>1</v>
      </c>
      <c r="J197">
        <v>0</v>
      </c>
      <c r="K197">
        <v>0</v>
      </c>
    </row>
    <row r="198" spans="1:11" x14ac:dyDescent="0.2">
      <c r="A198" t="s">
        <v>929</v>
      </c>
      <c r="B198" t="s">
        <v>1020</v>
      </c>
      <c r="C198" t="s">
        <v>1021</v>
      </c>
      <c r="D198" t="s">
        <v>1022</v>
      </c>
      <c r="E198" t="s">
        <v>44</v>
      </c>
      <c r="F198" t="s">
        <v>1450</v>
      </c>
      <c r="H198" s="4" t="s">
        <v>113</v>
      </c>
      <c r="I198">
        <v>1</v>
      </c>
      <c r="J198">
        <v>0</v>
      </c>
      <c r="K198">
        <v>0</v>
      </c>
    </row>
    <row r="199" spans="1:11" x14ac:dyDescent="0.2">
      <c r="A199" t="s">
        <v>1025</v>
      </c>
      <c r="B199" t="s">
        <v>1026</v>
      </c>
      <c r="C199" t="s">
        <v>268</v>
      </c>
      <c r="D199" t="s">
        <v>269</v>
      </c>
      <c r="E199" t="s">
        <v>19</v>
      </c>
      <c r="F199" t="s">
        <v>1440</v>
      </c>
      <c r="H199" s="5" t="s">
        <v>91</v>
      </c>
      <c r="I199">
        <v>1</v>
      </c>
      <c r="J199">
        <v>1</v>
      </c>
      <c r="K199">
        <v>1</v>
      </c>
    </row>
    <row r="200" spans="1:11" x14ac:dyDescent="0.2">
      <c r="A200" t="s">
        <v>1025</v>
      </c>
      <c r="B200" t="s">
        <v>319</v>
      </c>
      <c r="C200" t="s">
        <v>321</v>
      </c>
      <c r="D200" t="s">
        <v>322</v>
      </c>
      <c r="E200" t="s">
        <v>19</v>
      </c>
      <c r="F200" t="s">
        <v>1440</v>
      </c>
      <c r="H200" s="4" t="s">
        <v>128</v>
      </c>
      <c r="I200">
        <v>1</v>
      </c>
      <c r="J200">
        <v>1</v>
      </c>
      <c r="K200">
        <v>1</v>
      </c>
    </row>
    <row r="201" spans="1:11" x14ac:dyDescent="0.2">
      <c r="A201" t="s">
        <v>1025</v>
      </c>
      <c r="B201" t="s">
        <v>1035</v>
      </c>
      <c r="C201" t="s">
        <v>384</v>
      </c>
      <c r="D201" t="s">
        <v>385</v>
      </c>
      <c r="E201" t="s">
        <v>19</v>
      </c>
      <c r="F201" t="s">
        <v>1437</v>
      </c>
      <c r="H201" s="4" t="s">
        <v>21</v>
      </c>
      <c r="I201">
        <v>1</v>
      </c>
      <c r="J201">
        <v>1</v>
      </c>
      <c r="K201">
        <v>1</v>
      </c>
    </row>
    <row r="202" spans="1:11" x14ac:dyDescent="0.2">
      <c r="A202" t="s">
        <v>1025</v>
      </c>
      <c r="B202" t="s">
        <v>1040</v>
      </c>
      <c r="C202" t="s">
        <v>1041</v>
      </c>
      <c r="D202" t="s">
        <v>1042</v>
      </c>
      <c r="E202" t="s">
        <v>19</v>
      </c>
      <c r="F202" t="s">
        <v>1437</v>
      </c>
      <c r="H202" s="4" t="s">
        <v>21</v>
      </c>
      <c r="I202">
        <v>1</v>
      </c>
      <c r="J202">
        <v>1</v>
      </c>
      <c r="K202">
        <v>1</v>
      </c>
    </row>
    <row r="203" spans="1:11" x14ac:dyDescent="0.2">
      <c r="A203" t="s">
        <v>1025</v>
      </c>
      <c r="B203" t="s">
        <v>1046</v>
      </c>
      <c r="C203" t="s">
        <v>1048</v>
      </c>
      <c r="D203" t="s">
        <v>1049</v>
      </c>
      <c r="E203" t="s">
        <v>19</v>
      </c>
      <c r="F203" t="s">
        <v>1437</v>
      </c>
      <c r="H203" s="4" t="s">
        <v>113</v>
      </c>
      <c r="I203">
        <v>1</v>
      </c>
      <c r="J203">
        <v>1</v>
      </c>
      <c r="K203">
        <v>1</v>
      </c>
    </row>
    <row r="204" spans="1:11" x14ac:dyDescent="0.2">
      <c r="A204" t="s">
        <v>1053</v>
      </c>
      <c r="B204" t="s">
        <v>1026</v>
      </c>
      <c r="C204" t="s">
        <v>268</v>
      </c>
      <c r="D204" t="s">
        <v>269</v>
      </c>
      <c r="E204" t="s">
        <v>19</v>
      </c>
      <c r="F204" t="s">
        <v>1440</v>
      </c>
      <c r="H204" s="5" t="s">
        <v>91</v>
      </c>
      <c r="I204">
        <v>1</v>
      </c>
      <c r="J204">
        <v>1</v>
      </c>
      <c r="K204">
        <v>1</v>
      </c>
    </row>
    <row r="205" spans="1:11" x14ac:dyDescent="0.2">
      <c r="A205" t="s">
        <v>1053</v>
      </c>
      <c r="B205" t="s">
        <v>319</v>
      </c>
      <c r="C205" t="s">
        <v>321</v>
      </c>
      <c r="D205" t="s">
        <v>322</v>
      </c>
      <c r="E205" t="s">
        <v>19</v>
      </c>
      <c r="F205" t="s">
        <v>1440</v>
      </c>
      <c r="H205" s="4" t="s">
        <v>128</v>
      </c>
      <c r="I205">
        <v>1</v>
      </c>
      <c r="J205">
        <v>1</v>
      </c>
      <c r="K205">
        <v>1</v>
      </c>
    </row>
    <row r="206" spans="1:11" x14ac:dyDescent="0.2">
      <c r="A206" t="s">
        <v>1053</v>
      </c>
      <c r="B206" t="s">
        <v>1035</v>
      </c>
      <c r="C206" t="s">
        <v>384</v>
      </c>
      <c r="D206" t="s">
        <v>385</v>
      </c>
      <c r="E206" t="s">
        <v>19</v>
      </c>
      <c r="F206" t="s">
        <v>1437</v>
      </c>
      <c r="H206" s="4" t="s">
        <v>21</v>
      </c>
      <c r="I206">
        <v>1</v>
      </c>
      <c r="J206">
        <v>1</v>
      </c>
      <c r="K206">
        <v>1</v>
      </c>
    </row>
    <row r="207" spans="1:11" x14ac:dyDescent="0.2">
      <c r="A207" t="s">
        <v>1053</v>
      </c>
      <c r="B207" t="s">
        <v>1040</v>
      </c>
      <c r="C207" t="s">
        <v>1041</v>
      </c>
      <c r="D207" t="s">
        <v>1042</v>
      </c>
      <c r="E207" t="s">
        <v>19</v>
      </c>
      <c r="F207" t="s">
        <v>1437</v>
      </c>
      <c r="H207" s="4" t="s">
        <v>21</v>
      </c>
      <c r="I207">
        <v>1</v>
      </c>
      <c r="J207">
        <v>1</v>
      </c>
      <c r="K207">
        <v>0</v>
      </c>
    </row>
    <row r="208" spans="1:11" x14ac:dyDescent="0.2">
      <c r="A208" t="s">
        <v>1053</v>
      </c>
      <c r="B208" t="s">
        <v>1046</v>
      </c>
      <c r="C208" t="s">
        <v>1048</v>
      </c>
      <c r="D208" t="s">
        <v>1049</v>
      </c>
      <c r="E208" t="s">
        <v>19</v>
      </c>
      <c r="F208" t="s">
        <v>1437</v>
      </c>
      <c r="H208" s="4" t="s">
        <v>113</v>
      </c>
      <c r="I208">
        <v>1</v>
      </c>
      <c r="J208">
        <v>1</v>
      </c>
      <c r="K208">
        <v>1</v>
      </c>
    </row>
    <row r="209" spans="1:11" x14ac:dyDescent="0.2">
      <c r="A209" t="s">
        <v>1059</v>
      </c>
      <c r="B209" t="s">
        <v>1035</v>
      </c>
      <c r="C209" t="s">
        <v>384</v>
      </c>
      <c r="D209" t="s">
        <v>385</v>
      </c>
      <c r="E209" t="s">
        <v>44</v>
      </c>
      <c r="F209" t="s">
        <v>1437</v>
      </c>
      <c r="H209" s="4" t="s">
        <v>21</v>
      </c>
      <c r="I209">
        <v>1</v>
      </c>
      <c r="J209">
        <v>1</v>
      </c>
      <c r="K209">
        <v>1</v>
      </c>
    </row>
    <row r="210" spans="1:11" x14ac:dyDescent="0.2">
      <c r="A210" t="s">
        <v>1059</v>
      </c>
      <c r="B210" t="s">
        <v>1040</v>
      </c>
      <c r="C210" t="s">
        <v>1041</v>
      </c>
      <c r="D210" t="s">
        <v>1042</v>
      </c>
      <c r="E210" t="s">
        <v>44</v>
      </c>
      <c r="F210" t="s">
        <v>1437</v>
      </c>
      <c r="H210" s="4" t="s">
        <v>21</v>
      </c>
      <c r="I210">
        <v>1</v>
      </c>
      <c r="J210">
        <v>0</v>
      </c>
      <c r="K210">
        <v>0</v>
      </c>
    </row>
    <row r="211" spans="1:11" x14ac:dyDescent="0.2">
      <c r="A211" t="s">
        <v>1059</v>
      </c>
      <c r="B211" t="s">
        <v>326</v>
      </c>
      <c r="C211" t="s">
        <v>327</v>
      </c>
      <c r="D211" t="s">
        <v>328</v>
      </c>
      <c r="E211" t="s">
        <v>44</v>
      </c>
      <c r="F211" t="s">
        <v>1440</v>
      </c>
      <c r="H211" s="4" t="s">
        <v>220</v>
      </c>
      <c r="I211">
        <v>1</v>
      </c>
      <c r="J211">
        <v>0</v>
      </c>
      <c r="K211">
        <v>0</v>
      </c>
    </row>
    <row r="212" spans="1:11" x14ac:dyDescent="0.2">
      <c r="A212" t="s">
        <v>1059</v>
      </c>
      <c r="B212" t="s">
        <v>1068</v>
      </c>
      <c r="C212" t="s">
        <v>1070</v>
      </c>
      <c r="D212" t="s">
        <v>1071</v>
      </c>
      <c r="E212" t="s">
        <v>44</v>
      </c>
      <c r="F212" t="s">
        <v>1440</v>
      </c>
      <c r="H212" s="4" t="s">
        <v>91</v>
      </c>
      <c r="I212">
        <v>1</v>
      </c>
      <c r="J212">
        <v>0</v>
      </c>
      <c r="K212">
        <v>0</v>
      </c>
    </row>
    <row r="213" spans="1:11" x14ac:dyDescent="0.2">
      <c r="A213" t="s">
        <v>1059</v>
      </c>
      <c r="B213" t="s">
        <v>1075</v>
      </c>
      <c r="C213" t="s">
        <v>1077</v>
      </c>
      <c r="D213" t="s">
        <v>1078</v>
      </c>
      <c r="E213" t="s">
        <v>44</v>
      </c>
      <c r="F213" t="s">
        <v>1444</v>
      </c>
      <c r="H213" s="4" t="s">
        <v>220</v>
      </c>
      <c r="I213">
        <v>1</v>
      </c>
      <c r="J213">
        <v>1</v>
      </c>
      <c r="K213">
        <v>0</v>
      </c>
    </row>
    <row r="214" spans="1:11" x14ac:dyDescent="0.2">
      <c r="A214" t="s">
        <v>1081</v>
      </c>
      <c r="B214" t="s">
        <v>1082</v>
      </c>
      <c r="C214" t="s">
        <v>1084</v>
      </c>
      <c r="D214" t="s">
        <v>1085</v>
      </c>
      <c r="E214" t="s">
        <v>44</v>
      </c>
      <c r="F214" t="s">
        <v>1443</v>
      </c>
      <c r="H214" s="4" t="s">
        <v>113</v>
      </c>
      <c r="I214">
        <v>1</v>
      </c>
      <c r="J214">
        <v>0</v>
      </c>
      <c r="K214">
        <v>0</v>
      </c>
    </row>
    <row r="215" spans="1:11" x14ac:dyDescent="0.2">
      <c r="A215" t="s">
        <v>1090</v>
      </c>
      <c r="B215" t="s">
        <v>1091</v>
      </c>
      <c r="C215" t="s">
        <v>384</v>
      </c>
      <c r="D215" t="s">
        <v>385</v>
      </c>
      <c r="E215" t="s">
        <v>19</v>
      </c>
      <c r="F215" t="s">
        <v>1437</v>
      </c>
      <c r="H215" s="4" t="s">
        <v>21</v>
      </c>
      <c r="I215">
        <v>1</v>
      </c>
      <c r="J215">
        <v>1</v>
      </c>
      <c r="K215">
        <v>1</v>
      </c>
    </row>
    <row r="216" spans="1:11" x14ac:dyDescent="0.2">
      <c r="A216" t="s">
        <v>1090</v>
      </c>
      <c r="B216" t="s">
        <v>389</v>
      </c>
      <c r="C216" t="s">
        <v>390</v>
      </c>
      <c r="D216" t="s">
        <v>391</v>
      </c>
      <c r="E216" t="s">
        <v>19</v>
      </c>
      <c r="F216" t="s">
        <v>1437</v>
      </c>
      <c r="H216" s="4" t="s">
        <v>220</v>
      </c>
      <c r="I216">
        <v>1</v>
      </c>
      <c r="J216">
        <v>1</v>
      </c>
      <c r="K216">
        <v>1</v>
      </c>
    </row>
    <row r="217" spans="1:11" x14ac:dyDescent="0.2">
      <c r="A217" t="s">
        <v>1090</v>
      </c>
      <c r="B217" t="s">
        <v>1097</v>
      </c>
      <c r="C217" t="s">
        <v>1098</v>
      </c>
      <c r="D217" t="s">
        <v>1099</v>
      </c>
      <c r="E217" t="s">
        <v>19</v>
      </c>
      <c r="F217" t="s">
        <v>1437</v>
      </c>
      <c r="H217" s="4" t="s">
        <v>220</v>
      </c>
      <c r="I217">
        <v>1</v>
      </c>
      <c r="J217">
        <v>0</v>
      </c>
      <c r="K217">
        <v>0</v>
      </c>
    </row>
    <row r="218" spans="1:11" x14ac:dyDescent="0.2">
      <c r="A218" t="s">
        <v>1090</v>
      </c>
      <c r="B218" t="s">
        <v>1103</v>
      </c>
      <c r="C218" t="s">
        <v>1104</v>
      </c>
      <c r="D218" t="s">
        <v>1105</v>
      </c>
      <c r="E218" t="s">
        <v>19</v>
      </c>
      <c r="F218" t="s">
        <v>1437</v>
      </c>
      <c r="H218" s="4" t="s">
        <v>220</v>
      </c>
      <c r="I218">
        <v>1</v>
      </c>
      <c r="J218">
        <v>0</v>
      </c>
      <c r="K218">
        <v>0</v>
      </c>
    </row>
    <row r="219" spans="1:11" x14ac:dyDescent="0.2">
      <c r="A219" t="s">
        <v>1090</v>
      </c>
      <c r="B219" t="s">
        <v>1109</v>
      </c>
      <c r="C219" t="s">
        <v>401</v>
      </c>
      <c r="D219" t="s">
        <v>402</v>
      </c>
      <c r="E219" t="s">
        <v>19</v>
      </c>
      <c r="F219" t="s">
        <v>1437</v>
      </c>
      <c r="H219" s="4" t="s">
        <v>220</v>
      </c>
      <c r="I219">
        <v>1</v>
      </c>
      <c r="J219">
        <v>0</v>
      </c>
      <c r="K219">
        <v>0</v>
      </c>
    </row>
    <row r="220" spans="1:11" x14ac:dyDescent="0.2">
      <c r="A220" t="s">
        <v>1090</v>
      </c>
      <c r="B220" t="s">
        <v>1040</v>
      </c>
      <c r="C220" t="s">
        <v>1041</v>
      </c>
      <c r="D220" t="s">
        <v>1042</v>
      </c>
      <c r="E220" t="s">
        <v>19</v>
      </c>
      <c r="F220" t="s">
        <v>1437</v>
      </c>
      <c r="H220" s="4" t="s">
        <v>21</v>
      </c>
      <c r="I220">
        <v>1</v>
      </c>
      <c r="J220">
        <v>1</v>
      </c>
      <c r="K220">
        <v>0</v>
      </c>
    </row>
    <row r="221" spans="1:11" x14ac:dyDescent="0.2">
      <c r="A221" t="s">
        <v>1090</v>
      </c>
      <c r="B221" t="s">
        <v>1115</v>
      </c>
      <c r="C221" t="s">
        <v>1116</v>
      </c>
      <c r="D221" t="s">
        <v>1117</v>
      </c>
      <c r="E221" t="s">
        <v>44</v>
      </c>
      <c r="F221" t="s">
        <v>1446</v>
      </c>
      <c r="H221" s="4" t="s">
        <v>113</v>
      </c>
      <c r="I221">
        <v>1</v>
      </c>
      <c r="J221">
        <v>1</v>
      </c>
      <c r="K221">
        <v>0</v>
      </c>
    </row>
    <row r="222" spans="1:11" x14ac:dyDescent="0.2">
      <c r="A222" t="s">
        <v>1090</v>
      </c>
      <c r="B222" t="s">
        <v>1121</v>
      </c>
      <c r="C222" t="s">
        <v>1123</v>
      </c>
      <c r="D222" t="s">
        <v>1124</v>
      </c>
      <c r="E222" t="s">
        <v>44</v>
      </c>
      <c r="F222" t="s">
        <v>1437</v>
      </c>
      <c r="H222" s="4" t="s">
        <v>113</v>
      </c>
      <c r="I222">
        <v>1</v>
      </c>
      <c r="J222">
        <v>0</v>
      </c>
      <c r="K222">
        <v>0</v>
      </c>
    </row>
    <row r="223" spans="1:11" x14ac:dyDescent="0.2">
      <c r="A223" t="s">
        <v>1090</v>
      </c>
      <c r="B223" t="s">
        <v>1128</v>
      </c>
      <c r="C223" t="s">
        <v>129</v>
      </c>
      <c r="D223" t="s">
        <v>130</v>
      </c>
      <c r="E223" t="s">
        <v>44</v>
      </c>
      <c r="F223" t="s">
        <v>1439</v>
      </c>
      <c r="H223" s="4" t="s">
        <v>128</v>
      </c>
      <c r="I223">
        <v>1</v>
      </c>
      <c r="J223">
        <v>0</v>
      </c>
      <c r="K223">
        <v>0</v>
      </c>
    </row>
    <row r="224" spans="1:11" x14ac:dyDescent="0.2">
      <c r="A224" t="s">
        <v>1090</v>
      </c>
      <c r="B224" t="s">
        <v>368</v>
      </c>
      <c r="C224" t="s">
        <v>370</v>
      </c>
      <c r="D224" t="s">
        <v>371</v>
      </c>
      <c r="E224" t="s">
        <v>19</v>
      </c>
      <c r="F224" t="s">
        <v>1446</v>
      </c>
      <c r="H224" s="4" t="s">
        <v>220</v>
      </c>
      <c r="I224">
        <v>1</v>
      </c>
      <c r="J224">
        <v>1</v>
      </c>
      <c r="K224">
        <v>1</v>
      </c>
    </row>
    <row r="225" spans="1:11" x14ac:dyDescent="0.2">
      <c r="A225" t="s">
        <v>1090</v>
      </c>
      <c r="B225" t="s">
        <v>841</v>
      </c>
      <c r="C225" t="s">
        <v>842</v>
      </c>
      <c r="D225" t="s">
        <v>843</v>
      </c>
      <c r="E225" t="s">
        <v>19</v>
      </c>
      <c r="F225" t="s">
        <v>1446</v>
      </c>
      <c r="H225" s="4" t="s">
        <v>21</v>
      </c>
      <c r="I225">
        <v>1</v>
      </c>
      <c r="J225">
        <v>1</v>
      </c>
      <c r="K225">
        <v>0</v>
      </c>
    </row>
    <row r="226" spans="1:11" x14ac:dyDescent="0.2">
      <c r="A226" t="s">
        <v>1090</v>
      </c>
      <c r="B226" t="s">
        <v>1136</v>
      </c>
      <c r="C226" t="s">
        <v>1137</v>
      </c>
      <c r="D226" t="s">
        <v>1138</v>
      </c>
      <c r="E226" t="s">
        <v>44</v>
      </c>
      <c r="F226" t="s">
        <v>1446</v>
      </c>
      <c r="H226" s="4" t="s">
        <v>220</v>
      </c>
      <c r="I226">
        <v>1</v>
      </c>
      <c r="J226">
        <v>1</v>
      </c>
      <c r="K226">
        <v>1</v>
      </c>
    </row>
    <row r="227" spans="1:11" x14ac:dyDescent="0.2">
      <c r="A227" t="s">
        <v>1090</v>
      </c>
      <c r="B227" t="s">
        <v>1142</v>
      </c>
      <c r="C227" t="s">
        <v>1143</v>
      </c>
      <c r="D227" t="s">
        <v>1144</v>
      </c>
      <c r="E227" t="s">
        <v>44</v>
      </c>
      <c r="F227" t="s">
        <v>1446</v>
      </c>
      <c r="H227" s="4" t="s">
        <v>220</v>
      </c>
      <c r="I227">
        <v>1</v>
      </c>
      <c r="J227">
        <v>1</v>
      </c>
      <c r="K227">
        <v>1</v>
      </c>
    </row>
    <row r="228" spans="1:11" x14ac:dyDescent="0.2">
      <c r="A228" t="s">
        <v>1090</v>
      </c>
      <c r="B228" t="s">
        <v>272</v>
      </c>
      <c r="C228" t="s">
        <v>273</v>
      </c>
      <c r="D228" t="s">
        <v>274</v>
      </c>
      <c r="E228" t="s">
        <v>19</v>
      </c>
      <c r="F228" t="s">
        <v>1446</v>
      </c>
      <c r="H228" s="4" t="s">
        <v>38</v>
      </c>
      <c r="I228">
        <v>1</v>
      </c>
      <c r="J228">
        <v>1</v>
      </c>
      <c r="K228">
        <v>1</v>
      </c>
    </row>
    <row r="229" spans="1:11" x14ac:dyDescent="0.2">
      <c r="A229" t="s">
        <v>1090</v>
      </c>
      <c r="B229" t="s">
        <v>1151</v>
      </c>
      <c r="C229" t="s">
        <v>1154</v>
      </c>
      <c r="D229" t="s">
        <v>1155</v>
      </c>
      <c r="E229" t="s">
        <v>44</v>
      </c>
      <c r="F229" t="s">
        <v>1437</v>
      </c>
      <c r="H229" s="4" t="s">
        <v>1153</v>
      </c>
      <c r="I229">
        <v>1</v>
      </c>
      <c r="J229">
        <v>1</v>
      </c>
      <c r="K229">
        <v>1</v>
      </c>
    </row>
    <row r="230" spans="1:11" x14ac:dyDescent="0.2">
      <c r="A230" t="s">
        <v>1090</v>
      </c>
      <c r="B230" t="s">
        <v>1160</v>
      </c>
      <c r="C230" t="s">
        <v>1162</v>
      </c>
      <c r="D230" t="s">
        <v>1163</v>
      </c>
      <c r="E230" t="s">
        <v>44</v>
      </c>
      <c r="F230" t="s">
        <v>1437</v>
      </c>
      <c r="H230" s="4" t="s">
        <v>220</v>
      </c>
      <c r="I230">
        <v>1</v>
      </c>
      <c r="J230">
        <v>1</v>
      </c>
      <c r="K230">
        <v>1</v>
      </c>
    </row>
    <row r="231" spans="1:11" x14ac:dyDescent="0.2">
      <c r="A231" t="s">
        <v>1090</v>
      </c>
      <c r="B231" t="s">
        <v>1167</v>
      </c>
      <c r="C231" t="s">
        <v>1169</v>
      </c>
      <c r="D231" t="s">
        <v>1170</v>
      </c>
      <c r="E231" t="s">
        <v>44</v>
      </c>
      <c r="F231" t="s">
        <v>1437</v>
      </c>
      <c r="H231" s="4" t="s">
        <v>1168</v>
      </c>
      <c r="I231">
        <v>1</v>
      </c>
      <c r="J231">
        <v>1</v>
      </c>
      <c r="K231">
        <v>1</v>
      </c>
    </row>
    <row r="232" spans="1:11" x14ac:dyDescent="0.2">
      <c r="A232" t="s">
        <v>1090</v>
      </c>
      <c r="B232" t="s">
        <v>1174</v>
      </c>
      <c r="C232" t="s">
        <v>1175</v>
      </c>
      <c r="D232" t="s">
        <v>1176</v>
      </c>
      <c r="E232" t="s">
        <v>44</v>
      </c>
      <c r="F232" t="s">
        <v>1437</v>
      </c>
      <c r="H232" s="4" t="s">
        <v>1168</v>
      </c>
      <c r="I232">
        <v>1</v>
      </c>
      <c r="J232">
        <v>1</v>
      </c>
      <c r="K232">
        <v>1</v>
      </c>
    </row>
    <row r="233" spans="1:11" x14ac:dyDescent="0.2">
      <c r="A233" t="s">
        <v>1090</v>
      </c>
      <c r="B233" t="s">
        <v>1180</v>
      </c>
      <c r="C233" t="s">
        <v>1181</v>
      </c>
      <c r="D233" t="s">
        <v>1182</v>
      </c>
      <c r="E233" t="s">
        <v>44</v>
      </c>
      <c r="F233" t="s">
        <v>1437</v>
      </c>
      <c r="H233" s="4" t="s">
        <v>1168</v>
      </c>
      <c r="I233">
        <v>1</v>
      </c>
      <c r="J233">
        <v>1</v>
      </c>
      <c r="K233">
        <v>1</v>
      </c>
    </row>
    <row r="234" spans="1:11" x14ac:dyDescent="0.2">
      <c r="A234" t="s">
        <v>1090</v>
      </c>
      <c r="B234" t="s">
        <v>1186</v>
      </c>
      <c r="C234" t="s">
        <v>1187</v>
      </c>
      <c r="D234" t="s">
        <v>1188</v>
      </c>
      <c r="E234" t="s">
        <v>44</v>
      </c>
      <c r="F234" t="s">
        <v>1437</v>
      </c>
      <c r="H234" s="4" t="s">
        <v>179</v>
      </c>
      <c r="I234">
        <v>1</v>
      </c>
      <c r="J234">
        <v>1</v>
      </c>
      <c r="K234">
        <v>1</v>
      </c>
    </row>
    <row r="235" spans="1:11" x14ac:dyDescent="0.2">
      <c r="A235" t="s">
        <v>1090</v>
      </c>
      <c r="B235" t="s">
        <v>394</v>
      </c>
      <c r="C235" t="s">
        <v>395</v>
      </c>
      <c r="D235" t="s">
        <v>396</v>
      </c>
      <c r="E235" t="s">
        <v>44</v>
      </c>
      <c r="F235" t="s">
        <v>1437</v>
      </c>
      <c r="H235" s="4" t="s">
        <v>220</v>
      </c>
      <c r="I235">
        <v>1</v>
      </c>
      <c r="J235">
        <v>0</v>
      </c>
      <c r="K235">
        <v>0</v>
      </c>
    </row>
    <row r="236" spans="1:11" x14ac:dyDescent="0.2">
      <c r="A236" t="s">
        <v>1090</v>
      </c>
      <c r="B236" t="s">
        <v>375</v>
      </c>
      <c r="C236" t="s">
        <v>377</v>
      </c>
      <c r="D236" t="s">
        <v>378</v>
      </c>
      <c r="E236" t="s">
        <v>44</v>
      </c>
      <c r="F236" t="s">
        <v>1446</v>
      </c>
      <c r="H236" s="4" t="s">
        <v>220</v>
      </c>
      <c r="I236">
        <v>1</v>
      </c>
      <c r="J236">
        <v>0</v>
      </c>
      <c r="K236">
        <v>0</v>
      </c>
    </row>
    <row r="237" spans="1:11" x14ac:dyDescent="0.2">
      <c r="A237" t="s">
        <v>1090</v>
      </c>
      <c r="B237" t="s">
        <v>1197</v>
      </c>
      <c r="C237" t="s">
        <v>1198</v>
      </c>
      <c r="D237" t="s">
        <v>1199</v>
      </c>
      <c r="E237" t="s">
        <v>44</v>
      </c>
      <c r="F237" t="s">
        <v>1437</v>
      </c>
      <c r="H237" s="4" t="s">
        <v>220</v>
      </c>
      <c r="I237">
        <v>1</v>
      </c>
      <c r="J237">
        <v>0</v>
      </c>
      <c r="K237">
        <v>0</v>
      </c>
    </row>
    <row r="238" spans="1:11" x14ac:dyDescent="0.2">
      <c r="A238" t="s">
        <v>1090</v>
      </c>
      <c r="B238" t="s">
        <v>1203</v>
      </c>
      <c r="C238" t="s">
        <v>1204</v>
      </c>
      <c r="D238" t="s">
        <v>1205</v>
      </c>
      <c r="E238" t="s">
        <v>44</v>
      </c>
      <c r="F238" t="s">
        <v>1437</v>
      </c>
      <c r="H238" s="4" t="s">
        <v>220</v>
      </c>
      <c r="I238">
        <v>1</v>
      </c>
      <c r="J238">
        <v>0</v>
      </c>
      <c r="K238">
        <v>0</v>
      </c>
    </row>
    <row r="239" spans="1:11" x14ac:dyDescent="0.2">
      <c r="A239" t="s">
        <v>1090</v>
      </c>
      <c r="B239" t="s">
        <v>1208</v>
      </c>
      <c r="C239" t="s">
        <v>1209</v>
      </c>
      <c r="D239" t="s">
        <v>1210</v>
      </c>
      <c r="E239" t="s">
        <v>44</v>
      </c>
      <c r="F239" t="s">
        <v>1437</v>
      </c>
      <c r="H239" s="4" t="s">
        <v>220</v>
      </c>
      <c r="I239">
        <v>1</v>
      </c>
      <c r="J239">
        <v>0</v>
      </c>
      <c r="K239">
        <v>0</v>
      </c>
    </row>
    <row r="240" spans="1:11" x14ac:dyDescent="0.2">
      <c r="A240" t="s">
        <v>1090</v>
      </c>
      <c r="B240" t="s">
        <v>1213</v>
      </c>
      <c r="C240" t="s">
        <v>1214</v>
      </c>
      <c r="D240" t="s">
        <v>1215</v>
      </c>
      <c r="E240" t="s">
        <v>44</v>
      </c>
      <c r="F240" t="s">
        <v>1437</v>
      </c>
      <c r="H240" s="4" t="s">
        <v>220</v>
      </c>
      <c r="I240">
        <v>1</v>
      </c>
      <c r="J240">
        <v>0</v>
      </c>
      <c r="K240">
        <v>0</v>
      </c>
    </row>
    <row r="241" spans="1:11" x14ac:dyDescent="0.2">
      <c r="A241" t="s">
        <v>1090</v>
      </c>
      <c r="B241" t="s">
        <v>1218</v>
      </c>
      <c r="C241" t="s">
        <v>1219</v>
      </c>
      <c r="D241" t="s">
        <v>1220</v>
      </c>
      <c r="E241" t="s">
        <v>44</v>
      </c>
      <c r="F241" t="s">
        <v>1437</v>
      </c>
      <c r="H241" s="4" t="s">
        <v>220</v>
      </c>
      <c r="I241">
        <v>1</v>
      </c>
      <c r="J241">
        <v>0</v>
      </c>
      <c r="K241">
        <v>0</v>
      </c>
    </row>
    <row r="242" spans="1:11" x14ac:dyDescent="0.2">
      <c r="A242" t="s">
        <v>1090</v>
      </c>
      <c r="B242" t="s">
        <v>1223</v>
      </c>
      <c r="C242" t="s">
        <v>1224</v>
      </c>
      <c r="D242" t="s">
        <v>1225</v>
      </c>
      <c r="E242" t="s">
        <v>44</v>
      </c>
      <c r="F242" t="s">
        <v>1437</v>
      </c>
      <c r="H242" s="4" t="s">
        <v>220</v>
      </c>
      <c r="I242">
        <v>1</v>
      </c>
      <c r="J242">
        <v>0</v>
      </c>
      <c r="K242">
        <v>0</v>
      </c>
    </row>
    <row r="243" spans="1:11" x14ac:dyDescent="0.2">
      <c r="A243" t="s">
        <v>1090</v>
      </c>
      <c r="B243" t="s">
        <v>1228</v>
      </c>
      <c r="C243" t="s">
        <v>1229</v>
      </c>
      <c r="D243" t="s">
        <v>1230</v>
      </c>
      <c r="E243" t="s">
        <v>44</v>
      </c>
      <c r="F243" t="s">
        <v>1437</v>
      </c>
      <c r="H243" s="4" t="s">
        <v>179</v>
      </c>
      <c r="I243">
        <v>1</v>
      </c>
      <c r="J243">
        <v>0</v>
      </c>
      <c r="K243">
        <v>0</v>
      </c>
    </row>
    <row r="244" spans="1:11" x14ac:dyDescent="0.2">
      <c r="A244" t="s">
        <v>1090</v>
      </c>
      <c r="B244" t="s">
        <v>1233</v>
      </c>
      <c r="C244" t="s">
        <v>1234</v>
      </c>
      <c r="D244" t="s">
        <v>1235</v>
      </c>
      <c r="E244" t="s">
        <v>44</v>
      </c>
      <c r="F244" t="s">
        <v>1437</v>
      </c>
      <c r="H244" s="4" t="s">
        <v>220</v>
      </c>
      <c r="I244">
        <v>1</v>
      </c>
      <c r="J244">
        <v>0</v>
      </c>
      <c r="K244">
        <v>0</v>
      </c>
    </row>
    <row r="245" spans="1:11" x14ac:dyDescent="0.2">
      <c r="A245" t="s">
        <v>1090</v>
      </c>
      <c r="B245" t="s">
        <v>1238</v>
      </c>
      <c r="C245" t="s">
        <v>1239</v>
      </c>
      <c r="D245" t="s">
        <v>1240</v>
      </c>
      <c r="E245" t="s">
        <v>44</v>
      </c>
      <c r="F245" t="s">
        <v>1437</v>
      </c>
      <c r="H245" s="4" t="s">
        <v>220</v>
      </c>
      <c r="I245">
        <v>1</v>
      </c>
      <c r="J245">
        <v>0</v>
      </c>
      <c r="K245">
        <v>0</v>
      </c>
    </row>
    <row r="246" spans="1:11" x14ac:dyDescent="0.2">
      <c r="A246" t="s">
        <v>1243</v>
      </c>
      <c r="B246" t="s">
        <v>1244</v>
      </c>
      <c r="C246" t="s">
        <v>360</v>
      </c>
      <c r="D246" t="s">
        <v>360</v>
      </c>
      <c r="E246" t="s">
        <v>360</v>
      </c>
      <c r="F246" t="s">
        <v>360</v>
      </c>
      <c r="I246">
        <v>0</v>
      </c>
      <c r="J246">
        <v>0</v>
      </c>
      <c r="K246">
        <v>0</v>
      </c>
    </row>
    <row r="247" spans="1:11" x14ac:dyDescent="0.2">
      <c r="A247" t="s">
        <v>1245</v>
      </c>
      <c r="B247" t="s">
        <v>1246</v>
      </c>
      <c r="C247" t="s">
        <v>360</v>
      </c>
      <c r="D247" t="s">
        <v>360</v>
      </c>
      <c r="E247" t="s">
        <v>360</v>
      </c>
      <c r="F247" t="s">
        <v>360</v>
      </c>
      <c r="I247">
        <v>0</v>
      </c>
      <c r="J247">
        <v>0</v>
      </c>
      <c r="K247">
        <v>0</v>
      </c>
    </row>
    <row r="248" spans="1:11" x14ac:dyDescent="0.2">
      <c r="A248" t="s">
        <v>1247</v>
      </c>
      <c r="B248" t="s">
        <v>1248</v>
      </c>
      <c r="C248" t="s">
        <v>360</v>
      </c>
      <c r="D248" t="s">
        <v>360</v>
      </c>
      <c r="E248" t="s">
        <v>360</v>
      </c>
      <c r="F248" t="s">
        <v>360</v>
      </c>
      <c r="I248">
        <v>0</v>
      </c>
      <c r="J248">
        <v>0</v>
      </c>
      <c r="K248">
        <v>0</v>
      </c>
    </row>
    <row r="249" spans="1:11" x14ac:dyDescent="0.2">
      <c r="A249" t="s">
        <v>1249</v>
      </c>
      <c r="B249" t="s">
        <v>1250</v>
      </c>
      <c r="C249" t="s">
        <v>360</v>
      </c>
      <c r="D249" t="s">
        <v>360</v>
      </c>
      <c r="E249" t="s">
        <v>360</v>
      </c>
      <c r="F249" t="s">
        <v>360</v>
      </c>
      <c r="I249">
        <v>0</v>
      </c>
      <c r="J249">
        <v>0</v>
      </c>
      <c r="K249">
        <v>0</v>
      </c>
    </row>
    <row r="250" spans="1:11" x14ac:dyDescent="0.2">
      <c r="A250" t="s">
        <v>1251</v>
      </c>
      <c r="B250" t="s">
        <v>1252</v>
      </c>
      <c r="C250" t="s">
        <v>360</v>
      </c>
      <c r="D250" t="s">
        <v>360</v>
      </c>
      <c r="E250" t="s">
        <v>360</v>
      </c>
      <c r="F250" t="s">
        <v>360</v>
      </c>
      <c r="I250">
        <v>0</v>
      </c>
      <c r="J250">
        <v>0</v>
      </c>
      <c r="K250">
        <v>0</v>
      </c>
    </row>
    <row r="251" spans="1:11" x14ac:dyDescent="0.2">
      <c r="A251" t="s">
        <v>1253</v>
      </c>
      <c r="B251" t="s">
        <v>1254</v>
      </c>
      <c r="C251" t="s">
        <v>1256</v>
      </c>
      <c r="D251" t="s">
        <v>1257</v>
      </c>
      <c r="E251" t="s">
        <v>19</v>
      </c>
      <c r="F251" t="s">
        <v>1449</v>
      </c>
      <c r="H251" s="4" t="s">
        <v>847</v>
      </c>
      <c r="I251">
        <v>1</v>
      </c>
      <c r="J251">
        <v>0</v>
      </c>
      <c r="K251">
        <v>0</v>
      </c>
    </row>
    <row r="252" spans="1:11" x14ac:dyDescent="0.2">
      <c r="A252" t="s">
        <v>1253</v>
      </c>
      <c r="B252" t="s">
        <v>1261</v>
      </c>
      <c r="C252" t="s">
        <v>1263</v>
      </c>
      <c r="D252" t="s">
        <v>1264</v>
      </c>
      <c r="E252" t="s">
        <v>19</v>
      </c>
      <c r="F252" t="s">
        <v>1449</v>
      </c>
      <c r="H252" s="4" t="s">
        <v>1262</v>
      </c>
      <c r="I252">
        <v>1</v>
      </c>
      <c r="J252">
        <v>0</v>
      </c>
      <c r="K252">
        <v>0</v>
      </c>
    </row>
    <row r="253" spans="1:11" x14ac:dyDescent="0.2">
      <c r="A253" t="s">
        <v>1253</v>
      </c>
      <c r="B253" t="s">
        <v>1267</v>
      </c>
      <c r="C253" t="s">
        <v>1270</v>
      </c>
      <c r="D253" t="s">
        <v>1271</v>
      </c>
      <c r="E253" t="s">
        <v>19</v>
      </c>
      <c r="F253" t="s">
        <v>1449</v>
      </c>
      <c r="H253" s="4" t="s">
        <v>1269</v>
      </c>
      <c r="I253">
        <v>0</v>
      </c>
      <c r="J253">
        <v>0</v>
      </c>
      <c r="K253">
        <v>0</v>
      </c>
    </row>
    <row r="254" spans="1:11" x14ac:dyDescent="0.2">
      <c r="A254" t="s">
        <v>1253</v>
      </c>
      <c r="B254" t="s">
        <v>1274</v>
      </c>
      <c r="C254" t="s">
        <v>1275</v>
      </c>
      <c r="D254" t="s">
        <v>1276</v>
      </c>
      <c r="E254" t="s">
        <v>19</v>
      </c>
      <c r="F254" t="s">
        <v>1449</v>
      </c>
      <c r="H254" s="4" t="s">
        <v>1269</v>
      </c>
      <c r="I254">
        <v>0</v>
      </c>
      <c r="J254">
        <v>0</v>
      </c>
      <c r="K254">
        <v>0</v>
      </c>
    </row>
    <row r="255" spans="1:11" x14ac:dyDescent="0.2">
      <c r="A255" t="s">
        <v>1253</v>
      </c>
      <c r="B255" t="s">
        <v>1279</v>
      </c>
      <c r="C255" t="s">
        <v>1281</v>
      </c>
      <c r="D255" t="s">
        <v>1282</v>
      </c>
      <c r="E255" t="s">
        <v>19</v>
      </c>
      <c r="F255" t="s">
        <v>1440</v>
      </c>
      <c r="H255" s="4" t="s">
        <v>220</v>
      </c>
      <c r="I255">
        <v>0</v>
      </c>
      <c r="J255">
        <v>0</v>
      </c>
      <c r="K255">
        <v>0</v>
      </c>
    </row>
    <row r="256" spans="1:11" x14ac:dyDescent="0.2">
      <c r="A256" t="s">
        <v>1253</v>
      </c>
      <c r="B256" t="s">
        <v>1285</v>
      </c>
      <c r="C256" t="s">
        <v>1286</v>
      </c>
      <c r="D256" t="s">
        <v>1287</v>
      </c>
      <c r="E256" t="s">
        <v>19</v>
      </c>
      <c r="F256" t="s">
        <v>1440</v>
      </c>
      <c r="H256" s="4" t="s">
        <v>220</v>
      </c>
      <c r="I256">
        <v>0</v>
      </c>
      <c r="J256">
        <v>0</v>
      </c>
      <c r="K256">
        <v>0</v>
      </c>
    </row>
    <row r="257" spans="1:11" x14ac:dyDescent="0.2">
      <c r="A257" t="s">
        <v>1253</v>
      </c>
      <c r="B257" t="s">
        <v>1290</v>
      </c>
      <c r="C257" t="s">
        <v>1291</v>
      </c>
      <c r="D257" t="s">
        <v>1292</v>
      </c>
      <c r="E257" t="s">
        <v>44</v>
      </c>
      <c r="F257" t="s">
        <v>1440</v>
      </c>
      <c r="H257" s="4" t="s">
        <v>21</v>
      </c>
      <c r="I257">
        <v>0</v>
      </c>
      <c r="J257">
        <v>0</v>
      </c>
      <c r="K257">
        <v>0</v>
      </c>
    </row>
    <row r="258" spans="1:11" x14ac:dyDescent="0.2">
      <c r="A258" t="s">
        <v>1295</v>
      </c>
      <c r="B258" t="s">
        <v>368</v>
      </c>
      <c r="C258" t="s">
        <v>370</v>
      </c>
      <c r="D258" t="s">
        <v>371</v>
      </c>
      <c r="E258" t="s">
        <v>44</v>
      </c>
      <c r="F258" t="s">
        <v>1446</v>
      </c>
      <c r="H258" s="4" t="s">
        <v>220</v>
      </c>
      <c r="I258">
        <v>0</v>
      </c>
      <c r="J258">
        <v>0</v>
      </c>
      <c r="K258">
        <v>0</v>
      </c>
    </row>
    <row r="259" spans="1:11" x14ac:dyDescent="0.2">
      <c r="A259" t="s">
        <v>1295</v>
      </c>
      <c r="B259" t="s">
        <v>375</v>
      </c>
      <c r="C259" t="s">
        <v>377</v>
      </c>
      <c r="D259" t="s">
        <v>378</v>
      </c>
      <c r="E259" t="s">
        <v>44</v>
      </c>
      <c r="F259" t="s">
        <v>1446</v>
      </c>
      <c r="H259" s="4" t="s">
        <v>220</v>
      </c>
      <c r="I259">
        <v>0</v>
      </c>
      <c r="J259">
        <v>0</v>
      </c>
      <c r="K259">
        <v>0</v>
      </c>
    </row>
    <row r="260" spans="1:11" x14ac:dyDescent="0.2">
      <c r="A260" t="s">
        <v>1295</v>
      </c>
      <c r="B260" t="s">
        <v>841</v>
      </c>
      <c r="C260" t="s">
        <v>842</v>
      </c>
      <c r="D260" t="s">
        <v>843</v>
      </c>
      <c r="E260" t="s">
        <v>44</v>
      </c>
      <c r="F260" t="s">
        <v>1438</v>
      </c>
      <c r="H260" s="4" t="s">
        <v>21</v>
      </c>
      <c r="I260">
        <v>0</v>
      </c>
      <c r="J260">
        <v>0</v>
      </c>
      <c r="K260">
        <v>0</v>
      </c>
    </row>
    <row r="261" spans="1:11" x14ac:dyDescent="0.2">
      <c r="A261" t="s">
        <v>1295</v>
      </c>
      <c r="B261" t="s">
        <v>389</v>
      </c>
      <c r="C261" t="s">
        <v>390</v>
      </c>
      <c r="D261" t="s">
        <v>391</v>
      </c>
      <c r="E261" t="s">
        <v>44</v>
      </c>
      <c r="F261" t="s">
        <v>1437</v>
      </c>
      <c r="H261" s="4" t="s">
        <v>220</v>
      </c>
      <c r="I261">
        <v>0</v>
      </c>
      <c r="J261">
        <v>0</v>
      </c>
      <c r="K261">
        <v>0</v>
      </c>
    </row>
    <row r="262" spans="1:11" x14ac:dyDescent="0.2">
      <c r="A262" t="s">
        <v>1295</v>
      </c>
      <c r="B262" t="s">
        <v>149</v>
      </c>
      <c r="C262" t="s">
        <v>150</v>
      </c>
      <c r="D262" t="s">
        <v>151</v>
      </c>
      <c r="E262" t="s">
        <v>44</v>
      </c>
      <c r="F262" t="s">
        <v>1446</v>
      </c>
      <c r="H262" s="4" t="s">
        <v>21</v>
      </c>
      <c r="I262">
        <v>0</v>
      </c>
      <c r="J262">
        <v>0</v>
      </c>
      <c r="K262">
        <v>0</v>
      </c>
    </row>
    <row r="263" spans="1:11" x14ac:dyDescent="0.2">
      <c r="A263" t="s">
        <v>1295</v>
      </c>
      <c r="B263" t="s">
        <v>414</v>
      </c>
      <c r="C263" t="s">
        <v>416</v>
      </c>
      <c r="D263" t="s">
        <v>417</v>
      </c>
      <c r="E263" t="s">
        <v>44</v>
      </c>
      <c r="F263" t="s">
        <v>1447</v>
      </c>
      <c r="H263" s="4" t="s">
        <v>21</v>
      </c>
      <c r="I263">
        <v>0</v>
      </c>
      <c r="J263">
        <v>0</v>
      </c>
      <c r="K263">
        <v>0</v>
      </c>
    </row>
    <row r="264" spans="1:11" x14ac:dyDescent="0.2">
      <c r="A264" t="s">
        <v>1295</v>
      </c>
      <c r="B264" t="s">
        <v>420</v>
      </c>
      <c r="C264" t="s">
        <v>421</v>
      </c>
      <c r="D264" t="s">
        <v>422</v>
      </c>
      <c r="E264" t="s">
        <v>44</v>
      </c>
      <c r="F264" t="s">
        <v>1447</v>
      </c>
      <c r="H264" s="4" t="s">
        <v>113</v>
      </c>
      <c r="I264">
        <v>0</v>
      </c>
      <c r="J264">
        <v>0</v>
      </c>
      <c r="K264">
        <v>0</v>
      </c>
    </row>
    <row r="265" spans="1:11" x14ac:dyDescent="0.2">
      <c r="A265" t="s">
        <v>1312</v>
      </c>
      <c r="B265" t="s">
        <v>277</v>
      </c>
      <c r="C265" t="s">
        <v>278</v>
      </c>
      <c r="D265" t="s">
        <v>279</v>
      </c>
      <c r="E265" t="s">
        <v>19</v>
      </c>
      <c r="F265" t="s">
        <v>1443</v>
      </c>
      <c r="H265" s="4" t="s">
        <v>43</v>
      </c>
      <c r="I265">
        <v>0</v>
      </c>
      <c r="J265">
        <v>0</v>
      </c>
      <c r="K265">
        <v>0</v>
      </c>
    </row>
    <row r="266" spans="1:11" x14ac:dyDescent="0.2">
      <c r="A266" t="s">
        <v>1312</v>
      </c>
      <c r="B266" t="s">
        <v>1317</v>
      </c>
      <c r="C266" t="s">
        <v>1319</v>
      </c>
      <c r="D266" t="s">
        <v>1320</v>
      </c>
      <c r="E266" t="s">
        <v>19</v>
      </c>
      <c r="F266" t="s">
        <v>1443</v>
      </c>
      <c r="H266" s="4" t="s">
        <v>55</v>
      </c>
      <c r="I266">
        <v>0</v>
      </c>
      <c r="J266">
        <v>0</v>
      </c>
      <c r="K266">
        <v>0</v>
      </c>
    </row>
    <row r="267" spans="1:11" x14ac:dyDescent="0.2">
      <c r="A267" t="s">
        <v>1312</v>
      </c>
      <c r="B267" t="s">
        <v>1323</v>
      </c>
      <c r="C267" t="s">
        <v>307</v>
      </c>
      <c r="D267" t="s">
        <v>308</v>
      </c>
      <c r="E267" t="s">
        <v>44</v>
      </c>
      <c r="F267" t="s">
        <v>1443</v>
      </c>
      <c r="H267" s="4" t="s">
        <v>55</v>
      </c>
      <c r="I267">
        <v>0</v>
      </c>
      <c r="J267">
        <v>0</v>
      </c>
      <c r="K267">
        <v>0</v>
      </c>
    </row>
    <row r="268" spans="1:11" x14ac:dyDescent="0.2">
      <c r="A268" t="s">
        <v>1312</v>
      </c>
      <c r="B268" t="s">
        <v>1326</v>
      </c>
      <c r="C268" t="s">
        <v>1327</v>
      </c>
      <c r="D268" t="s">
        <v>1328</v>
      </c>
      <c r="E268" t="s">
        <v>44</v>
      </c>
      <c r="F268" t="s">
        <v>1443</v>
      </c>
      <c r="H268" s="4" t="s">
        <v>214</v>
      </c>
      <c r="I268">
        <v>0</v>
      </c>
      <c r="J268">
        <v>0</v>
      </c>
      <c r="K268">
        <v>0</v>
      </c>
    </row>
    <row r="269" spans="1:11" x14ac:dyDescent="0.2">
      <c r="A269" t="s">
        <v>1331</v>
      </c>
      <c r="B269" t="s">
        <v>1332</v>
      </c>
      <c r="C269" t="s">
        <v>1334</v>
      </c>
      <c r="D269" t="s">
        <v>1335</v>
      </c>
      <c r="E269" t="s">
        <v>19</v>
      </c>
      <c r="F269" t="s">
        <v>1437</v>
      </c>
      <c r="H269" s="4" t="s">
        <v>113</v>
      </c>
      <c r="I269">
        <v>1</v>
      </c>
      <c r="J269">
        <v>0</v>
      </c>
      <c r="K269">
        <v>0</v>
      </c>
    </row>
    <row r="270" spans="1:11" x14ac:dyDescent="0.2">
      <c r="A270" t="s">
        <v>1331</v>
      </c>
      <c r="B270" t="s">
        <v>1340</v>
      </c>
      <c r="C270" t="s">
        <v>1341</v>
      </c>
      <c r="D270" t="s">
        <v>1342</v>
      </c>
      <c r="E270" t="s">
        <v>19</v>
      </c>
      <c r="F270" t="s">
        <v>1437</v>
      </c>
      <c r="H270" s="4" t="s">
        <v>113</v>
      </c>
      <c r="I270">
        <v>1</v>
      </c>
      <c r="J270">
        <v>0</v>
      </c>
      <c r="K270">
        <v>0</v>
      </c>
    </row>
    <row r="271" spans="1:11" x14ac:dyDescent="0.2">
      <c r="A271" t="s">
        <v>1331</v>
      </c>
      <c r="B271" t="s">
        <v>1346</v>
      </c>
      <c r="C271" t="s">
        <v>1347</v>
      </c>
      <c r="D271" t="s">
        <v>1348</v>
      </c>
      <c r="E271" t="s">
        <v>19</v>
      </c>
      <c r="F271" t="s">
        <v>1437</v>
      </c>
      <c r="H271" s="4" t="s">
        <v>113</v>
      </c>
      <c r="I271">
        <v>1</v>
      </c>
      <c r="J271">
        <v>0</v>
      </c>
      <c r="K271">
        <v>0</v>
      </c>
    </row>
    <row r="272" spans="1:11" x14ac:dyDescent="0.2">
      <c r="A272" t="s">
        <v>1331</v>
      </c>
      <c r="B272" t="s">
        <v>1352</v>
      </c>
      <c r="C272" t="s">
        <v>1353</v>
      </c>
      <c r="D272" t="s">
        <v>1354</v>
      </c>
      <c r="E272" t="s">
        <v>19</v>
      </c>
      <c r="F272" t="s">
        <v>1437</v>
      </c>
      <c r="H272" s="4" t="s">
        <v>113</v>
      </c>
      <c r="I272">
        <v>1</v>
      </c>
      <c r="J272">
        <v>0</v>
      </c>
      <c r="K272">
        <v>0</v>
      </c>
    </row>
    <row r="273" spans="1:11" x14ac:dyDescent="0.2">
      <c r="A273" t="s">
        <v>1331</v>
      </c>
      <c r="B273" t="s">
        <v>1357</v>
      </c>
      <c r="C273" t="s">
        <v>1358</v>
      </c>
      <c r="D273" t="s">
        <v>1359</v>
      </c>
      <c r="E273" t="s">
        <v>19</v>
      </c>
      <c r="F273" t="s">
        <v>1437</v>
      </c>
      <c r="H273" s="4" t="s">
        <v>113</v>
      </c>
      <c r="I273">
        <v>1</v>
      </c>
      <c r="J273">
        <v>0</v>
      </c>
      <c r="K273">
        <v>0</v>
      </c>
    </row>
    <row r="274" spans="1:11" x14ac:dyDescent="0.2">
      <c r="A274" t="s">
        <v>1331</v>
      </c>
      <c r="B274" t="s">
        <v>1363</v>
      </c>
      <c r="C274" t="s">
        <v>1364</v>
      </c>
      <c r="D274" t="s">
        <v>1365</v>
      </c>
      <c r="E274" t="s">
        <v>44</v>
      </c>
      <c r="F274" t="s">
        <v>1437</v>
      </c>
      <c r="H274" s="4" t="s">
        <v>113</v>
      </c>
      <c r="I274">
        <v>1</v>
      </c>
      <c r="J274">
        <v>0</v>
      </c>
      <c r="K274">
        <v>0</v>
      </c>
    </row>
    <row r="275" spans="1:11" x14ac:dyDescent="0.2">
      <c r="A275" t="s">
        <v>1331</v>
      </c>
      <c r="B275" t="s">
        <v>1368</v>
      </c>
      <c r="C275" t="s">
        <v>1369</v>
      </c>
      <c r="D275" t="s">
        <v>1370</v>
      </c>
      <c r="E275" t="s">
        <v>44</v>
      </c>
      <c r="F275" t="s">
        <v>1437</v>
      </c>
      <c r="H275" s="4" t="s">
        <v>113</v>
      </c>
      <c r="I275">
        <v>1</v>
      </c>
      <c r="J275">
        <v>1</v>
      </c>
      <c r="K275">
        <v>0</v>
      </c>
    </row>
    <row r="276" spans="1:11" x14ac:dyDescent="0.2">
      <c r="A276" t="s">
        <v>1331</v>
      </c>
      <c r="B276" t="s">
        <v>1374</v>
      </c>
      <c r="C276" t="s">
        <v>1376</v>
      </c>
      <c r="D276" t="s">
        <v>1377</v>
      </c>
      <c r="E276" t="s">
        <v>44</v>
      </c>
      <c r="F276" t="s">
        <v>1437</v>
      </c>
      <c r="H276" s="4" t="s">
        <v>21</v>
      </c>
      <c r="I276">
        <v>1</v>
      </c>
      <c r="J276">
        <v>1</v>
      </c>
      <c r="K276">
        <v>0</v>
      </c>
    </row>
    <row r="277" spans="1:11" x14ac:dyDescent="0.2">
      <c r="A277" t="s">
        <v>1331</v>
      </c>
      <c r="B277" t="s">
        <v>1381</v>
      </c>
      <c r="C277" t="s">
        <v>1382</v>
      </c>
      <c r="D277" t="s">
        <v>1383</v>
      </c>
      <c r="E277" t="s">
        <v>44</v>
      </c>
      <c r="F277" t="s">
        <v>1437</v>
      </c>
      <c r="H277" s="4" t="s">
        <v>21</v>
      </c>
      <c r="I277">
        <v>1</v>
      </c>
      <c r="J277">
        <v>0</v>
      </c>
      <c r="K277">
        <v>0</v>
      </c>
    </row>
    <row r="278" spans="1:11" x14ac:dyDescent="0.2">
      <c r="A278" t="s">
        <v>1331</v>
      </c>
      <c r="B278" t="s">
        <v>1386</v>
      </c>
      <c r="C278" t="s">
        <v>1387</v>
      </c>
      <c r="D278" t="s">
        <v>1388</v>
      </c>
      <c r="E278" t="s">
        <v>44</v>
      </c>
      <c r="F278" t="s">
        <v>1437</v>
      </c>
      <c r="H278" s="4" t="s">
        <v>21</v>
      </c>
      <c r="I278">
        <v>1</v>
      </c>
      <c r="J278">
        <v>0</v>
      </c>
      <c r="K278">
        <v>0</v>
      </c>
    </row>
    <row r="279" spans="1:11" x14ac:dyDescent="0.2">
      <c r="A279" t="s">
        <v>1331</v>
      </c>
      <c r="B279" t="s">
        <v>1392</v>
      </c>
      <c r="C279" t="s">
        <v>1393</v>
      </c>
      <c r="D279" t="s">
        <v>1394</v>
      </c>
      <c r="E279" t="s">
        <v>44</v>
      </c>
      <c r="F279" t="s">
        <v>1437</v>
      </c>
      <c r="H279" s="4" t="s">
        <v>21</v>
      </c>
      <c r="I279">
        <v>1</v>
      </c>
      <c r="J279">
        <v>0</v>
      </c>
      <c r="K279">
        <v>0</v>
      </c>
    </row>
    <row r="280" spans="1:11" x14ac:dyDescent="0.2">
      <c r="A280" t="s">
        <v>1331</v>
      </c>
      <c r="B280" t="s">
        <v>1398</v>
      </c>
      <c r="C280" t="s">
        <v>1400</v>
      </c>
      <c r="D280" t="s">
        <v>1401</v>
      </c>
      <c r="E280" t="s">
        <v>44</v>
      </c>
      <c r="F280" t="s">
        <v>1444</v>
      </c>
      <c r="H280" s="4" t="s">
        <v>220</v>
      </c>
      <c r="I280">
        <v>1</v>
      </c>
      <c r="J280">
        <v>0</v>
      </c>
      <c r="K280">
        <v>0</v>
      </c>
    </row>
    <row r="281" spans="1:11" x14ac:dyDescent="0.2">
      <c r="A281" t="s">
        <v>1331</v>
      </c>
      <c r="B281" t="s">
        <v>1405</v>
      </c>
      <c r="C281" t="s">
        <v>1406</v>
      </c>
      <c r="D281" t="s">
        <v>1407</v>
      </c>
      <c r="E281" t="s">
        <v>44</v>
      </c>
      <c r="F281" t="s">
        <v>1444</v>
      </c>
      <c r="H281" s="4" t="s">
        <v>186</v>
      </c>
      <c r="I281">
        <v>1</v>
      </c>
      <c r="J281">
        <v>0</v>
      </c>
      <c r="K281">
        <v>0</v>
      </c>
    </row>
    <row r="282" spans="1:11" x14ac:dyDescent="0.2">
      <c r="A282" t="s">
        <v>1331</v>
      </c>
      <c r="B282" t="s">
        <v>1411</v>
      </c>
      <c r="C282" t="s">
        <v>1412</v>
      </c>
      <c r="D282" t="s">
        <v>1413</v>
      </c>
      <c r="E282" t="s">
        <v>44</v>
      </c>
      <c r="F282" t="s">
        <v>1444</v>
      </c>
      <c r="H282" s="4" t="s">
        <v>220</v>
      </c>
      <c r="I282">
        <v>1</v>
      </c>
      <c r="J282">
        <v>0</v>
      </c>
      <c r="K282">
        <v>0</v>
      </c>
    </row>
    <row r="283" spans="1:11" x14ac:dyDescent="0.2">
      <c r="A283" t="s">
        <v>1331</v>
      </c>
      <c r="B283" t="s">
        <v>1417</v>
      </c>
      <c r="C283" t="s">
        <v>1418</v>
      </c>
      <c r="D283" t="s">
        <v>1419</v>
      </c>
      <c r="E283" t="s">
        <v>44</v>
      </c>
      <c r="F283" t="s">
        <v>1444</v>
      </c>
      <c r="H283" s="4" t="s">
        <v>21</v>
      </c>
      <c r="I283">
        <v>1</v>
      </c>
      <c r="J283">
        <v>0</v>
      </c>
      <c r="K283">
        <v>0</v>
      </c>
    </row>
    <row r="284" spans="1:11" x14ac:dyDescent="0.2">
      <c r="A284" t="s">
        <v>1331</v>
      </c>
      <c r="B284" t="s">
        <v>1422</v>
      </c>
      <c r="C284" t="s">
        <v>1423</v>
      </c>
      <c r="D284" t="s">
        <v>1424</v>
      </c>
      <c r="E284" t="s">
        <v>44</v>
      </c>
      <c r="F284" t="s">
        <v>1444</v>
      </c>
      <c r="H284" s="4" t="s">
        <v>113</v>
      </c>
      <c r="I284">
        <v>1</v>
      </c>
      <c r="J284">
        <v>0</v>
      </c>
      <c r="K284">
        <v>0</v>
      </c>
    </row>
    <row r="285" spans="1:11" x14ac:dyDescent="0.2">
      <c r="A285" t="s">
        <v>1331</v>
      </c>
      <c r="B285" t="s">
        <v>1427</v>
      </c>
      <c r="C285" t="s">
        <v>1428</v>
      </c>
      <c r="D285" t="s">
        <v>1429</v>
      </c>
      <c r="E285" t="s">
        <v>44</v>
      </c>
      <c r="F285" t="s">
        <v>1444</v>
      </c>
      <c r="H285" s="4" t="s">
        <v>113</v>
      </c>
      <c r="I285">
        <v>1</v>
      </c>
      <c r="J285">
        <v>0</v>
      </c>
      <c r="K285">
        <v>0</v>
      </c>
    </row>
    <row r="286" spans="1:11" x14ac:dyDescent="0.2">
      <c r="A286" t="s">
        <v>1331</v>
      </c>
      <c r="B286" t="s">
        <v>1432</v>
      </c>
      <c r="C286" t="s">
        <v>1433</v>
      </c>
      <c r="D286" t="s">
        <v>1434</v>
      </c>
      <c r="E286" t="s">
        <v>44</v>
      </c>
      <c r="F286" t="s">
        <v>1444</v>
      </c>
      <c r="H286" s="4" t="s">
        <v>220</v>
      </c>
      <c r="I286">
        <v>1</v>
      </c>
      <c r="J286">
        <v>0</v>
      </c>
      <c r="K28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CRM_catalogue</vt:lpstr>
      <vt:lpstr>Code_compatible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thyl krijthe</dc:creator>
  <cp:lastModifiedBy>thyl krijthe</cp:lastModifiedBy>
  <dcterms:created xsi:type="dcterms:W3CDTF">2026-03-10T14:49:16Z</dcterms:created>
  <dcterms:modified xsi:type="dcterms:W3CDTF">2026-03-10T14:52:29Z</dcterms:modified>
</cp:coreProperties>
</file>